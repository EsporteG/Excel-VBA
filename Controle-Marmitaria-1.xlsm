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controle marmitaria\"/>
    </mc:Choice>
  </mc:AlternateContent>
  <xr:revisionPtr revIDLastSave="0" documentId="13_ncr:1_{E0AFA685-3920-4A1B-8773-AE0D00923435}" xr6:coauthVersionLast="45" xr6:coauthVersionMax="45" xr10:uidLastSave="{00000000-0000-0000-0000-000000000000}"/>
  <bookViews>
    <workbookView xWindow="-108" yWindow="-108" windowWidth="23256" windowHeight="12720" tabRatio="888" xr2:uid="{00000000-000D-0000-FFFF-FFFF00000000}"/>
  </bookViews>
  <sheets>
    <sheet name="Menu" sheetId="1" r:id="rId1"/>
    <sheet name="Despesas Fixas" sheetId="2" r:id="rId2"/>
    <sheet name="Compra Mercadorias" sheetId="6" r:id="rId3"/>
    <sheet name="Controle de Estoque" sheetId="8" r:id="rId4"/>
    <sheet name="Investimentos" sheetId="7" r:id="rId5"/>
    <sheet name="Resultados" sheetId="4" r:id="rId6"/>
    <sheet name="Vendas" sheetId="3" r:id="rId7"/>
    <sheet name="Semana 1" sheetId="9" r:id="rId8"/>
    <sheet name="Semana 2" sheetId="10" r:id="rId9"/>
    <sheet name="Semana 3" sheetId="11" r:id="rId10"/>
    <sheet name="Semana 4" sheetId="12" r:id="rId11"/>
    <sheet name="Semana 5" sheetId="13" r:id="rId12"/>
    <sheet name="cálculos" sheetId="5" r:id="rId13"/>
  </sheets>
  <definedNames>
    <definedName name="_xlnm._FilterDatabase" localSheetId="12" hidden="1">cálculos!$H$2:$K$2</definedName>
    <definedName name="_xlnm.Print_Area" localSheetId="5">Resultados!$C$4:$E$25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4" l="1"/>
  <c r="F5" i="9"/>
  <c r="H5" i="9"/>
  <c r="I5" i="9" s="1"/>
  <c r="M5" i="9" s="1"/>
  <c r="L5" i="9"/>
  <c r="N5" i="9"/>
  <c r="F6" i="9"/>
  <c r="H6" i="9"/>
  <c r="I6" i="9" s="1"/>
  <c r="M6" i="9" s="1"/>
  <c r="N6" i="9" s="1"/>
  <c r="L6" i="9"/>
  <c r="F5" i="6" l="1"/>
  <c r="H5" i="6"/>
  <c r="L7" i="9"/>
  <c r="L5" i="11"/>
  <c r="L5" i="12"/>
  <c r="F5" i="11"/>
  <c r="H5" i="11"/>
  <c r="I5" i="11" s="1"/>
  <c r="M5" i="11" s="1"/>
  <c r="N5" i="11" s="1"/>
  <c r="L5" i="13"/>
  <c r="L5" i="10"/>
  <c r="D5" i="10"/>
  <c r="J5" i="6" l="1"/>
  <c r="F7" i="9"/>
  <c r="H7" i="9"/>
  <c r="I7" i="9" s="1"/>
  <c r="M7" i="9" s="1"/>
  <c r="N7" i="9" s="1"/>
  <c r="M4" i="3" l="1"/>
  <c r="C14" i="3" s="1"/>
  <c r="F5" i="8" l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H5" i="13" l="1"/>
  <c r="H5" i="12"/>
  <c r="H5" i="10"/>
  <c r="N10" i="9" l="1" a="1"/>
  <c r="N10" i="9" s="1"/>
  <c r="C5" i="8"/>
  <c r="N8" i="13" l="1" a="1"/>
  <c r="N8" i="13" s="1"/>
  <c r="N8" i="12" a="1"/>
  <c r="N8" i="12" s="1"/>
  <c r="N8" i="11" a="1"/>
  <c r="N8" i="11" s="1"/>
  <c r="N8" i="10" a="1"/>
  <c r="N8" i="10" s="1"/>
  <c r="I5" i="13"/>
  <c r="M5" i="13" s="1"/>
  <c r="N5" i="13" s="1"/>
  <c r="N6" i="13" s="1"/>
  <c r="D13" i="3" s="1"/>
  <c r="F5" i="13"/>
  <c r="I5" i="12"/>
  <c r="M5" i="12" s="1"/>
  <c r="N5" i="12" s="1"/>
  <c r="N6" i="12" s="1"/>
  <c r="D12" i="3" s="1"/>
  <c r="F5" i="12"/>
  <c r="L6" i="13" l="1"/>
  <c r="L6" i="12"/>
  <c r="I5" i="10"/>
  <c r="M5" i="10" s="1"/>
  <c r="N5" i="10" s="1"/>
  <c r="F5" i="10"/>
  <c r="L6" i="11" l="1"/>
  <c r="L6" i="10"/>
  <c r="D45" i="3"/>
  <c r="L8" i="9"/>
  <c r="D46" i="3"/>
  <c r="N6" i="11"/>
  <c r="D11" i="3" s="1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10" i="7"/>
  <c r="E17" i="4" s="1"/>
  <c r="G22" i="8" l="1"/>
  <c r="H22" i="8" s="1"/>
  <c r="G21" i="8"/>
  <c r="H21" i="8" s="1"/>
  <c r="G13" i="8"/>
  <c r="H13" i="8" s="1"/>
  <c r="G5" i="8"/>
  <c r="H5" i="8" s="1"/>
  <c r="G28" i="8"/>
  <c r="H28" i="8" s="1"/>
  <c r="G20" i="8"/>
  <c r="H20" i="8" s="1"/>
  <c r="G12" i="8"/>
  <c r="H12" i="8" s="1"/>
  <c r="G27" i="8"/>
  <c r="H27" i="8" s="1"/>
  <c r="G19" i="8"/>
  <c r="H19" i="8" s="1"/>
  <c r="G11" i="8"/>
  <c r="H11" i="8" s="1"/>
  <c r="G23" i="8"/>
  <c r="H23" i="8" s="1"/>
  <c r="G26" i="8"/>
  <c r="H26" i="8" s="1"/>
  <c r="G18" i="8"/>
  <c r="H18" i="8" s="1"/>
  <c r="G10" i="8"/>
  <c r="H10" i="8" s="1"/>
  <c r="G7" i="8"/>
  <c r="H7" i="8" s="1"/>
  <c r="G6" i="8"/>
  <c r="H6" i="8" s="1"/>
  <c r="G25" i="8"/>
  <c r="H25" i="8" s="1"/>
  <c r="G17" i="8"/>
  <c r="H17" i="8" s="1"/>
  <c r="G9" i="8"/>
  <c r="H9" i="8" s="1"/>
  <c r="G15" i="8"/>
  <c r="H15" i="8" s="1"/>
  <c r="G14" i="8"/>
  <c r="H14" i="8" s="1"/>
  <c r="G24" i="8"/>
  <c r="H24" i="8" s="1"/>
  <c r="G16" i="8"/>
  <c r="H16" i="8" s="1"/>
  <c r="G8" i="8"/>
  <c r="H8" i="8" s="1"/>
  <c r="D28" i="3"/>
  <c r="E6" i="4" s="1"/>
  <c r="D47" i="3"/>
  <c r="N6" i="10"/>
  <c r="D10" i="3" s="1"/>
  <c r="D43" i="3" l="1"/>
  <c r="N8" i="9"/>
  <c r="D29" i="3" s="1"/>
  <c r="D44" i="3"/>
  <c r="D27" i="3"/>
  <c r="D9" i="3" l="1"/>
  <c r="D14" i="3" s="1"/>
  <c r="E5" i="4" s="1"/>
  <c r="J6" i="6"/>
  <c r="G30" i="2"/>
  <c r="G31" i="2" s="1"/>
  <c r="G20" i="2"/>
  <c r="G13" i="2"/>
  <c r="G6" i="2"/>
  <c r="G29" i="2" s="1"/>
  <c r="E13" i="4" s="1"/>
  <c r="E12" i="4" l="1"/>
  <c r="E11" i="4" s="1"/>
  <c r="E8" i="4"/>
  <c r="E9" i="4" s="1"/>
  <c r="E15" i="4" l="1"/>
  <c r="E21" i="4" s="1"/>
  <c r="E23" i="4" s="1"/>
  <c r="E2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tc={B0868505-CCCD-4D63-AE3C-3E860ADA6DE9}</author>
    <author>tc={C0D6DA4E-9A4A-48AA-826C-1C6A7DE78CCC}</author>
    <author>tc={1F9D2AF9-91E1-40C7-9D32-AFCC7BAF4396}</author>
  </authors>
  <commentList>
    <comment ref="C10" authorId="0" shapeId="0" xr:uid="{B0868505-CCCD-4D63-AE3C-3E860ADA6DE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da observação</t>
      </text>
    </comment>
    <comment ref="C18" authorId="1" shapeId="0" xr:uid="{C0D6DA4E-9A4A-48AA-826C-1C6A7DE78CC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da observação</t>
      </text>
    </comment>
    <comment ref="C26" authorId="2" shapeId="0" xr:uid="{1F9D2AF9-91E1-40C7-9D32-AFCC7BAF439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da observação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tc={98924C7D-D39D-4EFD-8CA2-A293D7D2611C}</author>
  </authors>
  <commentList>
    <comment ref="C8" authorId="0" shapeId="0" xr:uid="{98924C7D-D39D-4EFD-8CA2-A293D7D2611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 considerado de 15%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<sst xmlns="http://schemas.openxmlformats.org/spreadsheetml/2006/main" count="269" uniqueCount="143">
  <si>
    <t>Manutenção de Equipamentos</t>
  </si>
  <si>
    <t>Impostos</t>
  </si>
  <si>
    <t>Limpeza</t>
  </si>
  <si>
    <t>Aluguel Loja</t>
  </si>
  <si>
    <t>Seguros</t>
  </si>
  <si>
    <t>Outros</t>
  </si>
  <si>
    <t>Receita Líquida</t>
  </si>
  <si>
    <t>Investimentos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</si>
  <si>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</si>
  <si>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</si>
  <si>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</si>
  <si>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</si>
  <si>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</si>
  <si>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</si>
  <si>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</si>
  <si>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</si>
  <si>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</si>
  <si>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</si>
  <si>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</si>
  <si>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</si>
  <si>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</si>
  <si>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</si>
  <si>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</si>
  <si>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</si>
  <si>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</si>
  <si>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</si>
  <si>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</si>
  <si>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</si>
  <si>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</si>
  <si>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</si>
  <si>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</si>
  <si>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</si>
  <si>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</si>
  <si>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</si>
  <si>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</si>
  <si>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</si>
  <si>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</si>
  <si>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</si>
  <si>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</si>
  <si>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</si>
  <si>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</t>
  </si>
  <si>
    <t>Data</t>
  </si>
  <si>
    <t xml:space="preserve">Observação </t>
  </si>
  <si>
    <t>Valor Intermediário</t>
  </si>
  <si>
    <t>Valor Final</t>
  </si>
  <si>
    <t>Água</t>
  </si>
  <si>
    <t>Energia</t>
  </si>
  <si>
    <t>Gás</t>
  </si>
  <si>
    <t>Telefone</t>
  </si>
  <si>
    <t>Funcionários</t>
  </si>
  <si>
    <t xml:space="preserve">Despesas Funcionamento </t>
  </si>
  <si>
    <t>Férias, licença maternidade</t>
  </si>
  <si>
    <t xml:space="preserve"> </t>
  </si>
  <si>
    <t>Total</t>
  </si>
  <si>
    <t>Compras de Mercadorias</t>
  </si>
  <si>
    <t>Fornecedor</t>
  </si>
  <si>
    <t>Mercadoria</t>
  </si>
  <si>
    <t>Unidade de Medida</t>
  </si>
  <si>
    <t>Preço Unitário</t>
  </si>
  <si>
    <t>Desconto</t>
  </si>
  <si>
    <t>Valor Pago</t>
  </si>
  <si>
    <t>Quantidade</t>
  </si>
  <si>
    <t>Regiões de Entrega</t>
  </si>
  <si>
    <t>Preço</t>
  </si>
  <si>
    <t>Produtos</t>
  </si>
  <si>
    <t>Preço de Compra Unitário</t>
  </si>
  <si>
    <t>Preço de Venda Unitário</t>
  </si>
  <si>
    <t>Medida</t>
  </si>
  <si>
    <t>Centro</t>
  </si>
  <si>
    <t>Unidade</t>
  </si>
  <si>
    <t>Loja</t>
  </si>
  <si>
    <t>Pacote</t>
  </si>
  <si>
    <t>Zona Norte</t>
  </si>
  <si>
    <t>Kg</t>
  </si>
  <si>
    <t>Zona Oeste</t>
  </si>
  <si>
    <t>Zona Sul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</si>
  <si>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</si>
  <si>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</si>
  <si>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</si>
  <si>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</si>
  <si>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</si>
  <si>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</si>
  <si>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</si>
  <si>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</si>
  <si>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Total Compra de Mercadorias</t>
  </si>
  <si>
    <t>Total Despesas de Funcionamento</t>
  </si>
  <si>
    <t>Total de Despesas</t>
  </si>
  <si>
    <t>Descrição</t>
  </si>
  <si>
    <t>Valor</t>
  </si>
  <si>
    <t>Investimento Inicial</t>
  </si>
  <si>
    <t>Equipamentos</t>
  </si>
  <si>
    <t>Estrutura</t>
  </si>
  <si>
    <t>Documentação, sistema de informação, estrutura inicial, sistema de refrigeração, equipamentos</t>
  </si>
  <si>
    <t>Controle de Estoque</t>
  </si>
  <si>
    <t>Produto</t>
  </si>
  <si>
    <t>Data da Última Compra</t>
  </si>
  <si>
    <t>Quantidade Comprada</t>
  </si>
  <si>
    <t>Quantidade Atual</t>
  </si>
  <si>
    <t>Situação</t>
  </si>
  <si>
    <t>Quantidade Inicial</t>
  </si>
  <si>
    <t>Id da Venda</t>
  </si>
  <si>
    <t>Subtotal</t>
  </si>
  <si>
    <t>Entrega</t>
  </si>
  <si>
    <t>Valor de Entrega</t>
  </si>
  <si>
    <t>Total para o Cliente</t>
  </si>
  <si>
    <t>Vendas Semana 1</t>
  </si>
  <si>
    <t>Vendas Semana 2</t>
  </si>
  <si>
    <t>Vendas Semana 3</t>
  </si>
  <si>
    <t>Ticket Médio</t>
  </si>
  <si>
    <t>Quantidade de Venda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</si>
  <si>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</si>
  <si>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</si>
  <si>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</si>
  <si>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</si>
  <si>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</si>
  <si>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Vendas por Entrega (R$)</t>
  </si>
  <si>
    <t>Receitas Entregas (R$)</t>
  </si>
  <si>
    <t>Número de Vendas</t>
  </si>
  <si>
    <t>Total Receitas</t>
  </si>
  <si>
    <t>Imposto Sobre Receita</t>
  </si>
  <si>
    <t>Total Despesas</t>
  </si>
  <si>
    <t>Resultado Bruto</t>
  </si>
  <si>
    <t>Investimento</t>
  </si>
  <si>
    <t>Depreciação e Amortização</t>
  </si>
  <si>
    <t>Resultado Antes do Imposto</t>
  </si>
  <si>
    <t>Imposto</t>
  </si>
  <si>
    <t>Resultado Líquido</t>
  </si>
  <si>
    <t>Receita Mercadorias</t>
  </si>
  <si>
    <t>Receita das Entregas</t>
  </si>
  <si>
    <t>Despesas Mercadorias</t>
  </si>
  <si>
    <t>Despesas Funcionamento</t>
  </si>
  <si>
    <t>Vendas</t>
  </si>
  <si>
    <t>Quantidade Vendida</t>
  </si>
  <si>
    <t>Resultados</t>
  </si>
  <si>
    <t xml:space="preserve">SABOR </t>
  </si>
  <si>
    <t>MINEIRO</t>
  </si>
  <si>
    <t>M</t>
  </si>
  <si>
    <t>A</t>
  </si>
  <si>
    <t>R</t>
  </si>
  <si>
    <t>I</t>
  </si>
  <si>
    <t>T</t>
  </si>
  <si>
    <t>DELIVERY</t>
  </si>
  <si>
    <t>Vendas Semana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</si>
</sst>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72"/>
      <color theme="7" tint="0.59999389629810485"/>
      <name val="Aldhabi"/>
      <charset val="178"/>
    </font>
    <font>
      <sz val="28"/>
      <color theme="7" tint="0.59999389629810485"/>
      <name val="Aldhabi"/>
      <charset val="178"/>
    </font>
    <font>
      <sz val="18"/>
      <color theme="2" tint="-0.89999084444715716"/>
      <name val="Calibri"/>
      <family val="2"/>
      <scheme val="minor"/>
    </font>
    <font>
      <sz val="24"/>
      <color theme="0"/>
      <name val="Calibri"/>
      <family val="2"/>
      <scheme val="minor"/>
    </font>
    <font>
      <sz val="14"/>
      <color rgb="FFFF5050"/>
      <name val="Calibri"/>
      <family val="2"/>
      <scheme val="minor"/>
    </font>
    <font>
      <b/>
      <sz val="14"/>
      <color rgb="FFFF5050"/>
      <name val="Calibri"/>
      <family val="2"/>
      <scheme val="minor"/>
    </font>
    <font>
      <sz val="11"/>
      <color rgb="FFFF5050"/>
      <name val="Calibri"/>
      <family val="2"/>
      <scheme val="minor"/>
    </font>
    <font>
      <b/>
      <sz val="18"/>
      <color rgb="FFFF5050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0021"/>
        <bgColor indexed="64"/>
      </patternFill>
    </fill>
    <fill>
      <patternFill patternType="solid">
        <fgColor theme="2" tint="-0.89999084444715716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7558519241921"/>
      </left>
      <right/>
      <top style="double">
        <color theme="5"/>
      </top>
      <bottom style="thin">
        <color theme="5" tint="0.39997558519241921"/>
      </bottom>
      <diagonal/>
    </border>
    <border>
      <left/>
      <right/>
      <top style="double">
        <color theme="5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double">
        <color theme="5"/>
      </top>
      <bottom style="thin">
        <color theme="5" tint="0.39997558519241921"/>
      </bottom>
      <diagonal/>
    </border>
    <border>
      <left style="thick">
        <color rgb="FFC00000"/>
      </left>
      <right/>
      <top style="thick">
        <color rgb="FFC00000"/>
      </top>
      <bottom/>
      <diagonal/>
    </border>
    <border>
      <left/>
      <right/>
      <top style="thick">
        <color rgb="FFC00000"/>
      </top>
      <bottom/>
      <diagonal/>
    </border>
    <border>
      <left/>
      <right style="thick">
        <color rgb="FFC00000"/>
      </right>
      <top style="thick">
        <color rgb="FFC00000"/>
      </top>
      <bottom/>
      <diagonal/>
    </border>
    <border>
      <left style="thick">
        <color rgb="FFC00000"/>
      </left>
      <right/>
      <top/>
      <bottom/>
      <diagonal/>
    </border>
    <border>
      <left/>
      <right style="thick">
        <color rgb="FFC00000"/>
      </right>
      <top/>
      <bottom/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/>
      <right/>
      <top/>
      <bottom style="thick">
        <color rgb="FFC00000"/>
      </bottom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/>
      <right/>
      <top/>
      <bottom style="thick">
        <color rgb="FFFF5050"/>
      </bottom>
      <diagonal/>
    </border>
    <border>
      <left/>
      <right/>
      <top/>
      <bottom style="thin">
        <color rgb="FFFF5050"/>
      </bottom>
      <diagonal/>
    </border>
    <border>
      <left/>
      <right/>
      <top/>
      <bottom style="double">
        <color rgb="FFFF5050"/>
      </bottom>
      <diagonal/>
    </border>
    <border>
      <left/>
      <right/>
      <top style="thin">
        <color rgb="FFFF5050"/>
      </top>
      <bottom style="double">
        <color rgb="FFFF5050"/>
      </bottom>
      <diagonal/>
    </border>
    <border>
      <left/>
      <right/>
      <top style="double">
        <color rgb="FFFF5050"/>
      </top>
      <bottom style="double">
        <color rgb="FFFF505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Border="1"/>
    <xf numFmtId="44" fontId="0" fillId="0" borderId="0" xfId="1" applyFont="1"/>
    <xf numFmtId="44" fontId="0" fillId="0" borderId="0" xfId="0" applyNumberFormat="1"/>
    <xf numFmtId="9" fontId="0" fillId="0" borderId="0" xfId="2" applyFont="1"/>
    <xf numFmtId="14" fontId="0" fillId="0" borderId="0" xfId="0" applyNumberFormat="1"/>
    <xf numFmtId="0" fontId="2" fillId="0" borderId="0" xfId="0" applyFont="1"/>
    <xf numFmtId="0" fontId="0" fillId="0" borderId="0" xfId="1" applyNumberFormat="1" applyFont="1"/>
    <xf numFmtId="14" fontId="0" fillId="0" borderId="0" xfId="0" applyNumberFormat="1" applyAlignment="1">
      <alignment horizontal="left"/>
    </xf>
    <xf numFmtId="9" fontId="0" fillId="0" borderId="0" xfId="0" applyNumberFormat="1"/>
    <xf numFmtId="0" fontId="0" fillId="0" borderId="0" xfId="0" applyAlignment="1">
      <alignment wrapText="1"/>
    </xf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22" fontId="0" fillId="0" borderId="0" xfId="0" applyNumberFormat="1"/>
    <xf numFmtId="0" fontId="4" fillId="0" borderId="0" xfId="0" applyFont="1" applyBorder="1"/>
    <xf numFmtId="0" fontId="5" fillId="0" borderId="0" xfId="0" applyFont="1" applyBorder="1"/>
    <xf numFmtId="164" fontId="5" fillId="0" borderId="0" xfId="0" applyNumberFormat="1" applyFont="1" applyBorder="1"/>
    <xf numFmtId="44" fontId="2" fillId="0" borderId="0" xfId="1" applyFont="1"/>
    <xf numFmtId="0" fontId="2" fillId="0" borderId="1" xfId="0" applyFont="1" applyBorder="1"/>
    <xf numFmtId="44" fontId="2" fillId="0" borderId="1" xfId="1" applyFont="1" applyBorder="1"/>
    <xf numFmtId="0" fontId="2" fillId="0" borderId="2" xfId="0" applyFont="1" applyBorder="1"/>
    <xf numFmtId="44" fontId="2" fillId="0" borderId="2" xfId="1" applyFont="1" applyBorder="1"/>
    <xf numFmtId="0" fontId="2" fillId="0" borderId="3" xfId="0" applyFont="1" applyBorder="1"/>
    <xf numFmtId="44" fontId="2" fillId="0" borderId="3" xfId="1" applyFont="1" applyBorder="1"/>
    <xf numFmtId="0" fontId="2" fillId="0" borderId="4" xfId="0" applyFont="1" applyBorder="1"/>
    <xf numFmtId="44" fontId="2" fillId="0" borderId="4" xfId="1" applyFont="1" applyBorder="1"/>
    <xf numFmtId="0" fontId="2" fillId="0" borderId="5" xfId="0" applyFont="1" applyBorder="1"/>
    <xf numFmtId="44" fontId="2" fillId="0" borderId="5" xfId="1" applyFont="1" applyBorder="1"/>
    <xf numFmtId="44" fontId="0" fillId="0" borderId="0" xfId="1" applyNumberFormat="1" applyFont="1"/>
    <xf numFmtId="0" fontId="0" fillId="2" borderId="0" xfId="0" applyFill="1"/>
    <xf numFmtId="0" fontId="7" fillId="2" borderId="0" xfId="0" applyFont="1" applyFill="1" applyAlignment="1">
      <alignment vertical="center"/>
    </xf>
    <xf numFmtId="0" fontId="0" fillId="3" borderId="0" xfId="0" applyFill="1"/>
    <xf numFmtId="0" fontId="9" fillId="2" borderId="0" xfId="0" applyFont="1" applyFill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14" fontId="2" fillId="0" borderId="7" xfId="0" applyNumberFormat="1" applyFont="1" applyBorder="1"/>
    <xf numFmtId="44" fontId="2" fillId="0" borderId="7" xfId="1" applyNumberFormat="1" applyFont="1" applyBorder="1"/>
    <xf numFmtId="44" fontId="2" fillId="0" borderId="8" xfId="1" applyNumberFormat="1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5" fillId="0" borderId="15" xfId="0" applyFont="1" applyBorder="1"/>
    <xf numFmtId="164" fontId="5" fillId="0" borderId="15" xfId="0" applyNumberFormat="1" applyFont="1" applyBorder="1"/>
    <xf numFmtId="0" fontId="10" fillId="0" borderId="0" xfId="0" applyFont="1" applyBorder="1"/>
    <xf numFmtId="0" fontId="12" fillId="0" borderId="0" xfId="0" applyFont="1" applyBorder="1"/>
    <xf numFmtId="0" fontId="10" fillId="0" borderId="18" xfId="0" applyFont="1" applyBorder="1"/>
    <xf numFmtId="164" fontId="10" fillId="0" borderId="18" xfId="0" applyNumberFormat="1" applyFont="1" applyBorder="1"/>
    <xf numFmtId="164" fontId="10" fillId="0" borderId="0" xfId="0" applyNumberFormat="1" applyFont="1" applyBorder="1"/>
    <xf numFmtId="0" fontId="10" fillId="0" borderId="19" xfId="0" applyFont="1" applyBorder="1"/>
    <xf numFmtId="0" fontId="0" fillId="0" borderId="19" xfId="0" applyBorder="1"/>
    <xf numFmtId="1" fontId="10" fillId="0" borderId="18" xfId="0" applyNumberFormat="1" applyFont="1" applyBorder="1"/>
    <xf numFmtId="0" fontId="10" fillId="0" borderId="20" xfId="0" applyFont="1" applyBorder="1"/>
    <xf numFmtId="0" fontId="11" fillId="0" borderId="19" xfId="0" applyFont="1" applyBorder="1"/>
    <xf numFmtId="164" fontId="11" fillId="0" borderId="19" xfId="0" applyNumberFormat="1" applyFont="1" applyBorder="1"/>
    <xf numFmtId="164" fontId="10" fillId="0" borderId="20" xfId="0" applyNumberFormat="1" applyFont="1" applyBorder="1"/>
    <xf numFmtId="0" fontId="14" fillId="0" borderId="21" xfId="0" applyFont="1" applyBorder="1"/>
    <xf numFmtId="0" fontId="15" fillId="0" borderId="21" xfId="0" applyFont="1" applyBorder="1"/>
    <xf numFmtId="1" fontId="13" fillId="0" borderId="17" xfId="0" applyNumberFormat="1" applyFont="1" applyBorder="1" applyAlignment="1">
      <alignment horizontal="right" vertical="center"/>
    </xf>
    <xf numFmtId="0" fontId="0" fillId="0" borderId="0" xfId="0" applyNumberFormat="1" applyFont="1"/>
    <xf numFmtId="44" fontId="0" fillId="0" borderId="0" xfId="0" applyNumberFormat="1" applyFont="1"/>
    <xf numFmtId="0" fontId="6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</cellXfs>
  <cellStyles count="5">
    <cellStyle name="Moeda" xfId="1" builtinId="4"/>
    <cellStyle name="Moeda 2" xfId="3" xr:uid="{DB287CDE-ECFB-4517-A4CF-1D72340926BC}"/>
    <cellStyle name="Moeda 3" xfId="4" xr:uid="{E0001253-9422-41C5-997D-2656D05E503B}"/>
    <cellStyle name="Normal" xfId="0" builtinId="0"/>
    <cellStyle name="Porcentagem" xfId="2" builtinId="5"/>
  </cellStyles>
  <dxfs count="83"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  <fill>
        <patternFill>
          <bgColor theme="5" tint="0.39994506668294322"/>
        </patternFill>
      </fill>
    </dxf>
    <dxf>
      <font>
        <color rgb="FF00B050"/>
      </font>
      <fill>
        <patternFill>
          <bgColor theme="9" tint="0.39994506668294322"/>
        </patternFill>
      </fill>
    </dxf>
    <dxf>
      <font>
        <color theme="0"/>
      </font>
      <fill>
        <patternFill>
          <bgColor rgb="FF00990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numFmt numFmtId="19" formatCode="dd/mm/yyyy"/>
      <alignment horizontal="left" vertical="bottom" textRotation="0" wrapText="0" indent="0" justifyLastLine="0" shrinkToFit="0" readingOrder="0"/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0" formatCode="General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13" formatCode="0%"/>
    </dxf>
    <dxf>
      <numFmt numFmtId="0" formatCode="General"/>
    </dxf>
    <dxf>
      <numFmt numFmtId="0" formatCode="General"/>
    </dxf>
    <dxf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FF5050"/>
      <color rgb="FFFFCF47"/>
      <color rgb="FFCC9900"/>
      <color rgb="FFA50021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Vendas!$C$9:$C$13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Vendas!$D$9:$D$13</c:f>
              <c:numCache>
                <c:formatCode>"R$"\ 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4-46E0-A4EC-F7A6B8615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99721872"/>
        <c:axId val="599723472"/>
      </c:barChart>
      <c:catAx>
        <c:axId val="59972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23472"/>
        <c:crosses val="autoZero"/>
        <c:auto val="1"/>
        <c:lblAlgn val="ctr"/>
        <c:lblOffset val="100"/>
        <c:noMultiLvlLbl val="0"/>
      </c:catAx>
      <c:valAx>
        <c:axId val="59972347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2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Vendas!$C$27:$C$28</c:f>
              <c:strCache>
                <c:ptCount val="2"/>
                <c:pt idx="0">
                  <c:v>Vendas por Entrega (R$)</c:v>
                </c:pt>
                <c:pt idx="1">
                  <c:v>Receitas Entregas (R$)</c:v>
                </c:pt>
              </c:strCache>
            </c:strRef>
          </c:cat>
          <c:val>
            <c:numRef>
              <c:f>Vendas!$D$27:$D$28</c:f>
              <c:numCache>
                <c:formatCode>"R$"\ 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45-4E5A-8EFD-51CE1DDB9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599726352"/>
        <c:axId val="599731152"/>
      </c:barChart>
      <c:catAx>
        <c:axId val="599726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31152"/>
        <c:crosses val="autoZero"/>
        <c:auto val="1"/>
        <c:lblAlgn val="ctr"/>
        <c:lblOffset val="100"/>
        <c:noMultiLvlLbl val="0"/>
      </c:catAx>
      <c:valAx>
        <c:axId val="599731152"/>
        <c:scaling>
          <c:orientation val="minMax"/>
        </c:scaling>
        <c:delete val="0"/>
        <c:axPos val="b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72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59-4480-9B6A-D984C95E20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59-4480-9B6A-D984C95E20C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59-4480-9B6A-D984C95E20C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59-4480-9B6A-D984C95E20C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59-4480-9B6A-D984C95E20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Vendas!$C$43:$C$47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Vendas!$D$43:$D$47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B-4F32-BF14-9A67B997316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ompra Mercadorias'!A1"/><Relationship Id="rId3" Type="http://schemas.openxmlformats.org/officeDocument/2006/relationships/hyperlink" Target="#'Controle de Estoque'!A1"/><Relationship Id="rId7" Type="http://schemas.microsoft.com/office/2007/relationships/hdphoto" Target="../media/hdphoto1.wdp"/><Relationship Id="rId2" Type="http://schemas.openxmlformats.org/officeDocument/2006/relationships/hyperlink" Target="#Investimentos!A1"/><Relationship Id="rId1" Type="http://schemas.openxmlformats.org/officeDocument/2006/relationships/hyperlink" Target="#'Despesas Fixas'!A1"/><Relationship Id="rId6" Type="http://schemas.openxmlformats.org/officeDocument/2006/relationships/image" Target="../media/image1.png"/><Relationship Id="rId5" Type="http://schemas.openxmlformats.org/officeDocument/2006/relationships/hyperlink" Target="#Vendas!A1"/><Relationship Id="rId4" Type="http://schemas.openxmlformats.org/officeDocument/2006/relationships/hyperlink" Target="#Resultad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mpra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'Despesas Fixas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mpra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Despesas Fixas'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F53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Vendas!D55"/><Relationship Id="rId11" Type="http://schemas.openxmlformats.org/officeDocument/2006/relationships/hyperlink" Target="#'Semana 5'!A1"/><Relationship Id="rId5" Type="http://schemas.openxmlformats.org/officeDocument/2006/relationships/hyperlink" Target="#Resultados!A1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15</xdr:row>
      <xdr:rowOff>167640</xdr:rowOff>
    </xdr:from>
    <xdr:to>
      <xdr:col>13</xdr:col>
      <xdr:colOff>510225</xdr:colOff>
      <xdr:row>17</xdr:row>
      <xdr:rowOff>161880</xdr:rowOff>
    </xdr:to>
    <xdr:sp macro="[0]!DESPESAS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F8E7D0-F24B-4A87-9D56-02D4E85C32EE}"/>
            </a:ext>
          </a:extLst>
        </xdr:cNvPr>
        <xdr:cNvSpPr/>
      </xdr:nvSpPr>
      <xdr:spPr>
        <a:xfrm>
          <a:off x="3476625" y="4754880"/>
          <a:ext cx="2520000" cy="360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5050"/>
              </a:solidFill>
            </a:rPr>
            <a:t>Despesas Fixas</a:t>
          </a:r>
        </a:p>
      </xdr:txBody>
    </xdr:sp>
    <xdr:clientData/>
  </xdr:twoCellAnchor>
  <xdr:twoCellAnchor>
    <xdr:from>
      <xdr:col>14</xdr:col>
      <xdr:colOff>36195</xdr:colOff>
      <xdr:row>15</xdr:row>
      <xdr:rowOff>167640</xdr:rowOff>
    </xdr:from>
    <xdr:to>
      <xdr:col>18</xdr:col>
      <xdr:colOff>117795</xdr:colOff>
      <xdr:row>17</xdr:row>
      <xdr:rowOff>161880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1A9EB4-8FE5-4FC8-B1B8-8A6A84875900}"/>
            </a:ext>
          </a:extLst>
        </xdr:cNvPr>
        <xdr:cNvSpPr/>
      </xdr:nvSpPr>
      <xdr:spPr>
        <a:xfrm>
          <a:off x="6132195" y="4754880"/>
          <a:ext cx="2520000" cy="360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5050"/>
              </a:solidFill>
            </a:rPr>
            <a:t>Investimento</a:t>
          </a:r>
        </a:p>
      </xdr:txBody>
    </xdr:sp>
    <xdr:clientData/>
  </xdr:twoCellAnchor>
  <xdr:twoCellAnchor>
    <xdr:from>
      <xdr:col>14</xdr:col>
      <xdr:colOff>36195</xdr:colOff>
      <xdr:row>11</xdr:row>
      <xdr:rowOff>0</xdr:rowOff>
    </xdr:from>
    <xdr:to>
      <xdr:col>18</xdr:col>
      <xdr:colOff>117795</xdr:colOff>
      <xdr:row>12</xdr:row>
      <xdr:rowOff>177120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F45498-2A5F-4F85-B3D5-A5B9FD3C3F8A}"/>
            </a:ext>
          </a:extLst>
        </xdr:cNvPr>
        <xdr:cNvSpPr/>
      </xdr:nvSpPr>
      <xdr:spPr>
        <a:xfrm>
          <a:off x="6132195" y="3855720"/>
          <a:ext cx="2520000" cy="360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5050"/>
              </a:solidFill>
            </a:rPr>
            <a:t>Controle de Estoque</a:t>
          </a:r>
        </a:p>
      </xdr:txBody>
    </xdr:sp>
    <xdr:clientData/>
  </xdr:twoCellAnchor>
  <xdr:twoCellAnchor>
    <xdr:from>
      <xdr:col>14</xdr:col>
      <xdr:colOff>36195</xdr:colOff>
      <xdr:row>13</xdr:row>
      <xdr:rowOff>83820</xdr:rowOff>
    </xdr:from>
    <xdr:to>
      <xdr:col>18</xdr:col>
      <xdr:colOff>117795</xdr:colOff>
      <xdr:row>15</xdr:row>
      <xdr:rowOff>78060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2A074D-658D-425A-BE9B-705E8A703535}"/>
            </a:ext>
          </a:extLst>
        </xdr:cNvPr>
        <xdr:cNvSpPr/>
      </xdr:nvSpPr>
      <xdr:spPr>
        <a:xfrm>
          <a:off x="6132195" y="4305300"/>
          <a:ext cx="2520000" cy="360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5050"/>
              </a:solidFill>
            </a:rPr>
            <a:t>Resultados</a:t>
          </a:r>
        </a:p>
      </xdr:txBody>
    </xdr:sp>
    <xdr:clientData/>
  </xdr:twoCellAnchor>
  <xdr:twoCellAnchor>
    <xdr:from>
      <xdr:col>9</xdr:col>
      <xdr:colOff>428625</xdr:colOff>
      <xdr:row>13</xdr:row>
      <xdr:rowOff>83820</xdr:rowOff>
    </xdr:from>
    <xdr:to>
      <xdr:col>13</xdr:col>
      <xdr:colOff>510225</xdr:colOff>
      <xdr:row>15</xdr:row>
      <xdr:rowOff>78060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D4948D1-3F63-4BCB-B553-C37DFEED8D21}"/>
            </a:ext>
          </a:extLst>
        </xdr:cNvPr>
        <xdr:cNvSpPr/>
      </xdr:nvSpPr>
      <xdr:spPr>
        <a:xfrm>
          <a:off x="3476625" y="4305300"/>
          <a:ext cx="2520000" cy="360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5050"/>
              </a:solidFill>
            </a:rPr>
            <a:t>Vendas</a:t>
          </a:r>
        </a:p>
      </xdr:txBody>
    </xdr:sp>
    <xdr:clientData/>
  </xdr:twoCellAnchor>
  <xdr:twoCellAnchor editAs="oneCell">
    <xdr:from>
      <xdr:col>3</xdr:col>
      <xdr:colOff>182881</xdr:colOff>
      <xdr:row>0</xdr:row>
      <xdr:rowOff>160020</xdr:rowOff>
    </xdr:from>
    <xdr:to>
      <xdr:col>8</xdr:col>
      <xdr:colOff>289561</xdr:colOff>
      <xdr:row>18</xdr:row>
      <xdr:rowOff>160020</xdr:rowOff>
    </xdr:to>
    <xdr:pic>
      <xdr:nvPicPr>
        <xdr:cNvPr id="16" name="Espaço Reservado para Conteúdo 4">
          <a:extLst>
            <a:ext uri="{FF2B5EF4-FFF2-40B4-BE49-F238E27FC236}">
              <a16:creationId xmlns:a16="http://schemas.microsoft.com/office/drawing/2014/main" id="{C69096C4-F520-4576-A8D6-BC5370C201D8}"/>
            </a:ext>
          </a:extLst>
        </xdr:cNvPr>
        <xdr:cNvPicPr>
          <a:picLocks noGrp="1" noChangeAspect="1"/>
        </xdr:cNvPicPr>
      </xdr:nvPicPr>
      <xdr:blipFill rotWithShape="1"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9167" b="86204" l="9932" r="89932">
                      <a14:foregroundMark x1="47619" y1="28333" x2="47619" y2="28333"/>
                      <a14:foregroundMark x1="28980" y1="28611" x2="28980" y2="28611"/>
                      <a14:foregroundMark x1="11565" y1="72778" x2="11565" y2="72778"/>
                      <a14:foregroundMark x1="87483" y1="76389" x2="87483" y2="76389"/>
                      <a14:foregroundMark x1="64218" y1="84352" x2="64218" y2="84352"/>
                      <a14:foregroundMark x1="54830" y1="86204" x2="54830" y2="86204"/>
                      <a14:foregroundMark x1="24082" y1="83889" x2="24082" y2="83889"/>
                      <a14:foregroundMark x1="21905" y1="82963" x2="21905" y2="829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8165"/>
        <a:stretch/>
      </xdr:blipFill>
      <xdr:spPr>
        <a:xfrm>
          <a:off x="182881" y="525780"/>
          <a:ext cx="3154680" cy="4747260"/>
        </a:xfrm>
        <a:prstGeom prst="rect">
          <a:avLst/>
        </a:prstGeom>
      </xdr:spPr>
    </xdr:pic>
    <xdr:clientData/>
  </xdr:twoCellAnchor>
  <xdr:twoCellAnchor>
    <xdr:from>
      <xdr:col>9</xdr:col>
      <xdr:colOff>428625</xdr:colOff>
      <xdr:row>11</xdr:row>
      <xdr:rowOff>0</xdr:rowOff>
    </xdr:from>
    <xdr:to>
      <xdr:col>13</xdr:col>
      <xdr:colOff>510225</xdr:colOff>
      <xdr:row>12</xdr:row>
      <xdr:rowOff>177120</xdr:rowOff>
    </xdr:to>
    <xdr:sp macro="" textlink="">
      <xdr:nvSpPr>
        <xdr:cNvPr id="7" name="Retângulo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E3FCE9E-DC41-4CBE-8FAF-C28148937611}"/>
            </a:ext>
          </a:extLst>
        </xdr:cNvPr>
        <xdr:cNvSpPr/>
      </xdr:nvSpPr>
      <xdr:spPr>
        <a:xfrm>
          <a:off x="3476625" y="3855720"/>
          <a:ext cx="2520000" cy="360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5050"/>
              </a:solidFill>
            </a:rPr>
            <a:t>Compras</a:t>
          </a:r>
          <a:r>
            <a:rPr lang="pt-BR" sz="1600" b="1" baseline="0">
              <a:solidFill>
                <a:srgbClr val="FF5050"/>
              </a:solidFill>
            </a:rPr>
            <a:t> de Mercadorias</a:t>
          </a:r>
          <a:endParaRPr lang="pt-BR" sz="1600" b="1">
            <a:solidFill>
              <a:srgbClr val="FF505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213360</xdr:colOff>
      <xdr:row>1</xdr:row>
      <xdr:rowOff>57150</xdr:rowOff>
    </xdr:from>
    <xdr:to>
      <xdr:col>5</xdr:col>
      <xdr:colOff>1127760</xdr:colOff>
      <xdr:row>1</xdr:row>
      <xdr:rowOff>309150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2973ED-871F-4E30-BAEA-90D120EBE1CA}"/>
            </a:ext>
          </a:extLst>
        </xdr:cNvPr>
        <xdr:cNvSpPr/>
      </xdr:nvSpPr>
      <xdr:spPr>
        <a:xfrm>
          <a:off x="6461760" y="24003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5</xdr:col>
      <xdr:colOff>1188720</xdr:colOff>
      <xdr:row>1</xdr:row>
      <xdr:rowOff>57150</xdr:rowOff>
    </xdr:from>
    <xdr:to>
      <xdr:col>6</xdr:col>
      <xdr:colOff>800100</xdr:colOff>
      <xdr:row>1</xdr:row>
      <xdr:rowOff>309150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718EDD-4D99-4AD2-A078-DE68D5F556FD}"/>
            </a:ext>
          </a:extLst>
        </xdr:cNvPr>
        <xdr:cNvSpPr/>
      </xdr:nvSpPr>
      <xdr:spPr>
        <a:xfrm>
          <a:off x="7437120" y="24003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6</xdr:col>
      <xdr:colOff>861060</xdr:colOff>
      <xdr:row>1</xdr:row>
      <xdr:rowOff>57150</xdr:rowOff>
    </xdr:from>
    <xdr:to>
      <xdr:col>10</xdr:col>
      <xdr:colOff>15240</xdr:colOff>
      <xdr:row>1</xdr:row>
      <xdr:rowOff>309150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31E452-27AC-4AB4-A22D-5A3E6D89886D}"/>
            </a:ext>
          </a:extLst>
        </xdr:cNvPr>
        <xdr:cNvSpPr/>
      </xdr:nvSpPr>
      <xdr:spPr>
        <a:xfrm>
          <a:off x="8465820" y="240030"/>
          <a:ext cx="18821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</a:t>
          </a:r>
          <a:r>
            <a:rPr lang="pt-BR" sz="1100" baseline="0"/>
            <a:t> DE MERCADORIAS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1</xdr:row>
      <xdr:rowOff>53340</xdr:rowOff>
    </xdr:from>
    <xdr:to>
      <xdr:col>7</xdr:col>
      <xdr:colOff>304800</xdr:colOff>
      <xdr:row>1</xdr:row>
      <xdr:rowOff>305340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346956-D980-4CBA-BD02-05385F9380C2}"/>
            </a:ext>
          </a:extLst>
        </xdr:cNvPr>
        <xdr:cNvSpPr/>
      </xdr:nvSpPr>
      <xdr:spPr>
        <a:xfrm>
          <a:off x="7551420" y="23622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365760</xdr:colOff>
      <xdr:row>1</xdr:row>
      <xdr:rowOff>53340</xdr:rowOff>
    </xdr:from>
    <xdr:to>
      <xdr:col>8</xdr:col>
      <xdr:colOff>281940</xdr:colOff>
      <xdr:row>1</xdr:row>
      <xdr:rowOff>305340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3081BFE-8367-4E3C-A1B5-449F332CECED}"/>
            </a:ext>
          </a:extLst>
        </xdr:cNvPr>
        <xdr:cNvSpPr/>
      </xdr:nvSpPr>
      <xdr:spPr>
        <a:xfrm>
          <a:off x="8526780" y="23622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8</xdr:col>
      <xdr:colOff>342900</xdr:colOff>
      <xdr:row>1</xdr:row>
      <xdr:rowOff>53340</xdr:rowOff>
    </xdr:from>
    <xdr:to>
      <xdr:col>11</xdr:col>
      <xdr:colOff>7620</xdr:colOff>
      <xdr:row>1</xdr:row>
      <xdr:rowOff>305340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35723C7-3C43-4F23-A928-71E45DCBA9C5}"/>
            </a:ext>
          </a:extLst>
        </xdr:cNvPr>
        <xdr:cNvSpPr/>
      </xdr:nvSpPr>
      <xdr:spPr>
        <a:xfrm>
          <a:off x="9555480" y="236220"/>
          <a:ext cx="18821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 DE ESTOQUE</a:t>
          </a:r>
          <a:endParaRPr lang="pt-BR" sz="1100" baseline="0"/>
        </a:p>
      </xdr:txBody>
    </xdr:sp>
    <xdr:clientData/>
  </xdr:twoCellAnchor>
  <xdr:twoCellAnchor editAs="absolute">
    <xdr:from>
      <xdr:col>0</xdr:col>
      <xdr:colOff>122853</xdr:colOff>
      <xdr:row>3</xdr:row>
      <xdr:rowOff>0</xdr:rowOff>
    </xdr:from>
    <xdr:to>
      <xdr:col>1</xdr:col>
      <xdr:colOff>433563</xdr:colOff>
      <xdr:row>5</xdr:row>
      <xdr:rowOff>132184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95FBF089-28FA-4C0E-BC8E-8D6AB30FE700}"/>
            </a:ext>
          </a:extLst>
        </xdr:cNvPr>
        <xdr:cNvSpPr/>
      </xdr:nvSpPr>
      <xdr:spPr>
        <a:xfrm>
          <a:off x="122853" y="847531"/>
          <a:ext cx="917200" cy="505408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Inserir</a:t>
          </a:r>
          <a:r>
            <a:rPr lang="pt-BR" sz="1100" baseline="0">
              <a:solidFill>
                <a:srgbClr val="FF0000"/>
              </a:solidFill>
            </a:rPr>
            <a:t> Nova Compra</a:t>
          </a:r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122853</xdr:colOff>
      <xdr:row>6</xdr:row>
      <xdr:rowOff>27993</xdr:rowOff>
    </xdr:from>
    <xdr:to>
      <xdr:col>1</xdr:col>
      <xdr:colOff>433563</xdr:colOff>
      <xdr:row>8</xdr:row>
      <xdr:rowOff>160176</xdr:rowOff>
    </xdr:to>
    <xdr:sp macro="[0]!deletar_compra" textlink="">
      <xdr:nvSpPr>
        <xdr:cNvPr id="6" name="Retângulo 5">
          <a:extLst>
            <a:ext uri="{FF2B5EF4-FFF2-40B4-BE49-F238E27FC236}">
              <a16:creationId xmlns:a16="http://schemas.microsoft.com/office/drawing/2014/main" id="{A20C62EC-B64B-4563-9CAB-1EF174DE7AEA}"/>
            </a:ext>
          </a:extLst>
        </xdr:cNvPr>
        <xdr:cNvSpPr/>
      </xdr:nvSpPr>
      <xdr:spPr>
        <a:xfrm>
          <a:off x="122853" y="1435360"/>
          <a:ext cx="917200" cy="505408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rgbClr val="FF0000"/>
              </a:solidFill>
            </a:rPr>
            <a:t>Deletar  Compra</a:t>
          </a:r>
          <a:endParaRPr lang="pt-BR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53340</xdr:rowOff>
    </xdr:from>
    <xdr:to>
      <xdr:col>5</xdr:col>
      <xdr:colOff>914400</xdr:colOff>
      <xdr:row>1</xdr:row>
      <xdr:rowOff>305340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E26EB-5177-4CC8-ACCB-AAEE1F8715CF}"/>
            </a:ext>
          </a:extLst>
        </xdr:cNvPr>
        <xdr:cNvSpPr/>
      </xdr:nvSpPr>
      <xdr:spPr>
        <a:xfrm>
          <a:off x="7421880" y="23622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5</xdr:col>
      <xdr:colOff>975360</xdr:colOff>
      <xdr:row>1</xdr:row>
      <xdr:rowOff>53340</xdr:rowOff>
    </xdr:from>
    <xdr:to>
      <xdr:col>6</xdr:col>
      <xdr:colOff>502920</xdr:colOff>
      <xdr:row>1</xdr:row>
      <xdr:rowOff>305340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66D2C-8F29-446F-815F-46CFF55AE940}"/>
            </a:ext>
          </a:extLst>
        </xdr:cNvPr>
        <xdr:cNvSpPr/>
      </xdr:nvSpPr>
      <xdr:spPr>
        <a:xfrm>
          <a:off x="8397240" y="23622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6</xdr:col>
      <xdr:colOff>563880</xdr:colOff>
      <xdr:row>1</xdr:row>
      <xdr:rowOff>53340</xdr:rowOff>
    </xdr:from>
    <xdr:to>
      <xdr:col>8</xdr:col>
      <xdr:colOff>449580</xdr:colOff>
      <xdr:row>1</xdr:row>
      <xdr:rowOff>305340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9C31BAB-F399-4C04-AF4B-37D8633303B1}"/>
            </a:ext>
          </a:extLst>
        </xdr:cNvPr>
        <xdr:cNvSpPr/>
      </xdr:nvSpPr>
      <xdr:spPr>
        <a:xfrm>
          <a:off x="9425940" y="236220"/>
          <a:ext cx="18821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</a:t>
          </a:r>
          <a:r>
            <a:rPr lang="pt-BR" sz="1100" baseline="0"/>
            <a:t> DE MERCADORIAS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2255520</xdr:colOff>
      <xdr:row>1</xdr:row>
      <xdr:rowOff>68580</xdr:rowOff>
    </xdr:from>
    <xdr:to>
      <xdr:col>4</xdr:col>
      <xdr:colOff>666050</xdr:colOff>
      <xdr:row>1</xdr:row>
      <xdr:rowOff>320580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59F501-80A7-4FBF-B05C-C015DF13B453}"/>
            </a:ext>
          </a:extLst>
        </xdr:cNvPr>
        <xdr:cNvSpPr/>
      </xdr:nvSpPr>
      <xdr:spPr>
        <a:xfrm>
          <a:off x="5021580" y="251460"/>
          <a:ext cx="93275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727010</xdr:colOff>
      <xdr:row>1</xdr:row>
      <xdr:rowOff>68580</xdr:rowOff>
    </xdr:from>
    <xdr:to>
      <xdr:col>6</xdr:col>
      <xdr:colOff>39810</xdr:colOff>
      <xdr:row>1</xdr:row>
      <xdr:rowOff>320580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3ECF7F4-ED13-4A34-8EDC-F5E40BCD9607}"/>
            </a:ext>
          </a:extLst>
        </xdr:cNvPr>
        <xdr:cNvSpPr/>
      </xdr:nvSpPr>
      <xdr:spPr>
        <a:xfrm>
          <a:off x="6015290" y="251460"/>
          <a:ext cx="9892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1</xdr:row>
      <xdr:rowOff>60960</xdr:rowOff>
    </xdr:from>
    <xdr:to>
      <xdr:col>4</xdr:col>
      <xdr:colOff>1524000</xdr:colOff>
      <xdr:row>1</xdr:row>
      <xdr:rowOff>312960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A09B8D-FD20-4203-B365-0C9B7D91D43C}"/>
            </a:ext>
          </a:extLst>
        </xdr:cNvPr>
        <xdr:cNvSpPr/>
      </xdr:nvSpPr>
      <xdr:spPr>
        <a:xfrm>
          <a:off x="7589520" y="24384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1630680</xdr:colOff>
      <xdr:row>1</xdr:row>
      <xdr:rowOff>60960</xdr:rowOff>
    </xdr:from>
    <xdr:to>
      <xdr:col>7</xdr:col>
      <xdr:colOff>30947</xdr:colOff>
      <xdr:row>1</xdr:row>
      <xdr:rowOff>312960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F33A6F-91A8-4A4E-AA21-A5990E3AA904}"/>
            </a:ext>
          </a:extLst>
        </xdr:cNvPr>
        <xdr:cNvSpPr/>
      </xdr:nvSpPr>
      <xdr:spPr>
        <a:xfrm>
          <a:off x="8610600" y="243840"/>
          <a:ext cx="1974047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 DE ESTOQUE</a:t>
          </a:r>
          <a:endParaRPr lang="pt-BR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586740</xdr:colOff>
      <xdr:row>5</xdr:row>
      <xdr:rowOff>171450</xdr:rowOff>
    </xdr:from>
    <xdr:to>
      <xdr:col>12</xdr:col>
      <xdr:colOff>1089660</xdr:colOff>
      <xdr:row>20</xdr:row>
      <xdr:rowOff>63246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E437C56-74F3-4A18-AC5B-378398B08E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129540</xdr:colOff>
      <xdr:row>23</xdr:row>
      <xdr:rowOff>41910</xdr:rowOff>
    </xdr:from>
    <xdr:to>
      <xdr:col>12</xdr:col>
      <xdr:colOff>1143000</xdr:colOff>
      <xdr:row>35</xdr:row>
      <xdr:rowOff>83820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A784375-EBD8-442A-8101-046E64BD22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167640</xdr:colOff>
      <xdr:row>38</xdr:row>
      <xdr:rowOff>102870</xdr:rowOff>
    </xdr:from>
    <xdr:to>
      <xdr:col>12</xdr:col>
      <xdr:colOff>1135380</xdr:colOff>
      <xdr:row>48</xdr:row>
      <xdr:rowOff>83820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65F6FE1-585D-4B7C-B151-009E552F7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</xdr:colOff>
      <xdr:row>1</xdr:row>
      <xdr:rowOff>60960</xdr:rowOff>
    </xdr:from>
    <xdr:to>
      <xdr:col>11</xdr:col>
      <xdr:colOff>327660</xdr:colOff>
      <xdr:row>1</xdr:row>
      <xdr:rowOff>312960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C04D1A8-D44C-477A-B201-61AB2433FA8A}"/>
            </a:ext>
          </a:extLst>
        </xdr:cNvPr>
        <xdr:cNvSpPr/>
      </xdr:nvSpPr>
      <xdr:spPr>
        <a:xfrm>
          <a:off x="8526780" y="24384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388620</xdr:colOff>
      <xdr:row>1</xdr:row>
      <xdr:rowOff>60960</xdr:rowOff>
    </xdr:from>
    <xdr:to>
      <xdr:col>12</xdr:col>
      <xdr:colOff>746760</xdr:colOff>
      <xdr:row>1</xdr:row>
      <xdr:rowOff>312960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38CFA-F12F-4CE1-9AFC-1C8957072C9F}"/>
            </a:ext>
          </a:extLst>
        </xdr:cNvPr>
        <xdr:cNvSpPr/>
      </xdr:nvSpPr>
      <xdr:spPr>
        <a:xfrm>
          <a:off x="9502140" y="24384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12</xdr:col>
      <xdr:colOff>807720</xdr:colOff>
      <xdr:row>1</xdr:row>
      <xdr:rowOff>60960</xdr:rowOff>
    </xdr:from>
    <xdr:to>
      <xdr:col>15</xdr:col>
      <xdr:colOff>259080</xdr:colOff>
      <xdr:row>1</xdr:row>
      <xdr:rowOff>312960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7705A4C-F1B7-4D24-9235-E8272676B88C}"/>
            </a:ext>
          </a:extLst>
        </xdr:cNvPr>
        <xdr:cNvSpPr/>
      </xdr:nvSpPr>
      <xdr:spPr>
        <a:xfrm>
          <a:off x="10530840" y="243840"/>
          <a:ext cx="18821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IR PARA SEMANAS</a:t>
          </a:r>
          <a:endParaRPr lang="pt-BR" sz="1100" baseline="0"/>
        </a:p>
      </xdr:txBody>
    </xdr:sp>
    <xdr:clientData/>
  </xdr:twoCellAnchor>
  <xdr:twoCellAnchor>
    <xdr:from>
      <xdr:col>4</xdr:col>
      <xdr:colOff>137160</xdr:colOff>
      <xdr:row>51</xdr:row>
      <xdr:rowOff>3810</xdr:rowOff>
    </xdr:from>
    <xdr:to>
      <xdr:col>5</xdr:col>
      <xdr:colOff>495300</xdr:colOff>
      <xdr:row>52</xdr:row>
      <xdr:rowOff>72930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C4E2877-6C75-42BF-AA9F-32C3CABB0667}"/>
            </a:ext>
          </a:extLst>
        </xdr:cNvPr>
        <xdr:cNvSpPr/>
      </xdr:nvSpPr>
      <xdr:spPr>
        <a:xfrm>
          <a:off x="5273040" y="10984230"/>
          <a:ext cx="967740" cy="25200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SEMANA 1</a:t>
          </a:r>
        </a:p>
      </xdr:txBody>
    </xdr:sp>
    <xdr:clientData/>
  </xdr:twoCellAnchor>
  <xdr:twoCellAnchor>
    <xdr:from>
      <xdr:col>5</xdr:col>
      <xdr:colOff>607695</xdr:colOff>
      <xdr:row>51</xdr:row>
      <xdr:rowOff>3810</xdr:rowOff>
    </xdr:from>
    <xdr:to>
      <xdr:col>6</xdr:col>
      <xdr:colOff>965835</xdr:colOff>
      <xdr:row>52</xdr:row>
      <xdr:rowOff>72930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C2A9951-98CC-43C2-859B-6A02326B9B22}"/>
            </a:ext>
          </a:extLst>
        </xdr:cNvPr>
        <xdr:cNvSpPr/>
      </xdr:nvSpPr>
      <xdr:spPr>
        <a:xfrm>
          <a:off x="6353175" y="10984230"/>
          <a:ext cx="967740" cy="25200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SEMANA 2</a:t>
          </a:r>
        </a:p>
      </xdr:txBody>
    </xdr:sp>
    <xdr:clientData/>
  </xdr:twoCellAnchor>
  <xdr:twoCellAnchor>
    <xdr:from>
      <xdr:col>7</xdr:col>
      <xdr:colOff>3810</xdr:colOff>
      <xdr:row>51</xdr:row>
      <xdr:rowOff>3810</xdr:rowOff>
    </xdr:from>
    <xdr:to>
      <xdr:col>7</xdr:col>
      <xdr:colOff>971550</xdr:colOff>
      <xdr:row>52</xdr:row>
      <xdr:rowOff>72930</xdr:rowOff>
    </xdr:to>
    <xdr:sp macro="" textlink="">
      <xdr:nvSpPr>
        <xdr:cNvPr id="10" name="Retâ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7626D9-B216-475A-A7EC-346863DF3A81}"/>
            </a:ext>
          </a:extLst>
        </xdr:cNvPr>
        <xdr:cNvSpPr/>
      </xdr:nvSpPr>
      <xdr:spPr>
        <a:xfrm>
          <a:off x="7433310" y="10984230"/>
          <a:ext cx="967740" cy="25200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SEMANA 3</a:t>
          </a:r>
        </a:p>
      </xdr:txBody>
    </xdr:sp>
    <xdr:clientData/>
  </xdr:twoCellAnchor>
  <xdr:twoCellAnchor>
    <xdr:from>
      <xdr:col>8</xdr:col>
      <xdr:colOff>17145</xdr:colOff>
      <xdr:row>51</xdr:row>
      <xdr:rowOff>3810</xdr:rowOff>
    </xdr:from>
    <xdr:to>
      <xdr:col>8</xdr:col>
      <xdr:colOff>984885</xdr:colOff>
      <xdr:row>52</xdr:row>
      <xdr:rowOff>72930</xdr:rowOff>
    </xdr:to>
    <xdr:sp macro="" textlink="">
      <xdr:nvSpPr>
        <xdr:cNvPr id="11" name="Retâ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27722C8-01DB-4514-91AF-1E833FEAE0C4}"/>
            </a:ext>
          </a:extLst>
        </xdr:cNvPr>
        <xdr:cNvSpPr/>
      </xdr:nvSpPr>
      <xdr:spPr>
        <a:xfrm>
          <a:off x="8521065" y="10984230"/>
          <a:ext cx="967740" cy="25200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SEMANA 4</a:t>
          </a:r>
        </a:p>
      </xdr:txBody>
    </xdr:sp>
    <xdr:clientData/>
  </xdr:twoCellAnchor>
  <xdr:twoCellAnchor>
    <xdr:from>
      <xdr:col>9</xdr:col>
      <xdr:colOff>22860</xdr:colOff>
      <xdr:row>51</xdr:row>
      <xdr:rowOff>3810</xdr:rowOff>
    </xdr:from>
    <xdr:to>
      <xdr:col>9</xdr:col>
      <xdr:colOff>990600</xdr:colOff>
      <xdr:row>52</xdr:row>
      <xdr:rowOff>72930</xdr:rowOff>
    </xdr:to>
    <xdr:sp macro="" textlink="">
      <xdr:nvSpPr>
        <xdr:cNvPr id="12" name="Retângul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2E1D494-4E70-43DB-8B91-CB000DE36CBB}"/>
            </a:ext>
          </a:extLst>
        </xdr:cNvPr>
        <xdr:cNvSpPr/>
      </xdr:nvSpPr>
      <xdr:spPr>
        <a:xfrm>
          <a:off x="9601200" y="10984230"/>
          <a:ext cx="967740" cy="25200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SEMANA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3</xdr:row>
      <xdr:rowOff>15240</xdr:rowOff>
    </xdr:from>
    <xdr:to>
      <xdr:col>1</xdr:col>
      <xdr:colOff>457200</xdr:colOff>
      <xdr:row>5</xdr:row>
      <xdr:rowOff>137160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89FCB03A-4498-4A04-9BD8-1DDDC8BBB524}"/>
            </a:ext>
          </a:extLst>
        </xdr:cNvPr>
        <xdr:cNvSpPr/>
      </xdr:nvSpPr>
      <xdr:spPr>
        <a:xfrm>
          <a:off x="152400" y="86106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152400</xdr:colOff>
      <xdr:row>6</xdr:row>
      <xdr:rowOff>0</xdr:rowOff>
    </xdr:from>
    <xdr:to>
      <xdr:col>1</xdr:col>
      <xdr:colOff>457200</xdr:colOff>
      <xdr:row>8</xdr:row>
      <xdr:rowOff>121920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5AC458E9-8BE4-4A1F-9168-06888B087DE8}"/>
            </a:ext>
          </a:extLst>
        </xdr:cNvPr>
        <xdr:cNvSpPr/>
      </xdr:nvSpPr>
      <xdr:spPr>
        <a:xfrm>
          <a:off x="152400" y="139446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160020</xdr:colOff>
      <xdr:row>8</xdr:row>
      <xdr:rowOff>167640</xdr:rowOff>
    </xdr:from>
    <xdr:to>
      <xdr:col>1</xdr:col>
      <xdr:colOff>464820</xdr:colOff>
      <xdr:row>11</xdr:row>
      <xdr:rowOff>30480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54DF2A9B-DDE0-4528-B42E-AFA69FC99D0E}"/>
            </a:ext>
          </a:extLst>
        </xdr:cNvPr>
        <xdr:cNvSpPr/>
      </xdr:nvSpPr>
      <xdr:spPr>
        <a:xfrm>
          <a:off x="160020" y="192786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Inserir</a:t>
          </a:r>
          <a:r>
            <a:rPr lang="pt-BR" sz="1100" baseline="0">
              <a:solidFill>
                <a:srgbClr val="FF0000"/>
              </a:solidFill>
            </a:rPr>
            <a:t> Produto</a:t>
          </a:r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891540</xdr:colOff>
      <xdr:row>1</xdr:row>
      <xdr:rowOff>76200</xdr:rowOff>
    </xdr:from>
    <xdr:to>
      <xdr:col>12</xdr:col>
      <xdr:colOff>685800</xdr:colOff>
      <xdr:row>1</xdr:row>
      <xdr:rowOff>328200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7A1D67-DF64-44E0-A89D-2E06762673E3}"/>
            </a:ext>
          </a:extLst>
        </xdr:cNvPr>
        <xdr:cNvSpPr/>
      </xdr:nvSpPr>
      <xdr:spPr>
        <a:xfrm>
          <a:off x="9852660" y="25908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38100</xdr:colOff>
      <xdr:row>1</xdr:row>
      <xdr:rowOff>76200</xdr:rowOff>
    </xdr:from>
    <xdr:to>
      <xdr:col>13</xdr:col>
      <xdr:colOff>1005840</xdr:colOff>
      <xdr:row>1</xdr:row>
      <xdr:rowOff>328200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021E40-0D87-417A-BF3C-9D74FCF3F866}"/>
            </a:ext>
          </a:extLst>
        </xdr:cNvPr>
        <xdr:cNvSpPr/>
      </xdr:nvSpPr>
      <xdr:spPr>
        <a:xfrm>
          <a:off x="10828020" y="25908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175260</xdr:colOff>
      <xdr:row>3</xdr:row>
      <xdr:rowOff>0</xdr:rowOff>
    </xdr:from>
    <xdr:to>
      <xdr:col>1</xdr:col>
      <xdr:colOff>480060</xdr:colOff>
      <xdr:row>5</xdr:row>
      <xdr:rowOff>121920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D6A6C8DF-3D87-4CB4-A869-ED29E77FF965}"/>
            </a:ext>
          </a:extLst>
        </xdr:cNvPr>
        <xdr:cNvSpPr/>
      </xdr:nvSpPr>
      <xdr:spPr>
        <a:xfrm>
          <a:off x="175260" y="84582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175260</xdr:colOff>
      <xdr:row>5</xdr:row>
      <xdr:rowOff>167640</xdr:rowOff>
    </xdr:from>
    <xdr:to>
      <xdr:col>1</xdr:col>
      <xdr:colOff>480060</xdr:colOff>
      <xdr:row>8</xdr:row>
      <xdr:rowOff>38100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47E309FA-3052-4560-AA62-06D543D7AFE7}"/>
            </a:ext>
          </a:extLst>
        </xdr:cNvPr>
        <xdr:cNvSpPr/>
      </xdr:nvSpPr>
      <xdr:spPr>
        <a:xfrm>
          <a:off x="175260" y="137922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182880</xdr:colOff>
      <xdr:row>8</xdr:row>
      <xdr:rowOff>83820</xdr:rowOff>
    </xdr:from>
    <xdr:to>
      <xdr:col>1</xdr:col>
      <xdr:colOff>487680</xdr:colOff>
      <xdr:row>11</xdr:row>
      <xdr:rowOff>15240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2CADB83A-3475-41A0-A401-F3F86CE001F9}"/>
            </a:ext>
          </a:extLst>
        </xdr:cNvPr>
        <xdr:cNvSpPr/>
      </xdr:nvSpPr>
      <xdr:spPr>
        <a:xfrm>
          <a:off x="182880" y="191262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Inserir</a:t>
          </a:r>
          <a:r>
            <a:rPr lang="pt-BR" sz="1100" baseline="0">
              <a:solidFill>
                <a:srgbClr val="FF0000"/>
              </a:solidFill>
            </a:rPr>
            <a:t> Produto</a:t>
          </a:r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899160</xdr:colOff>
      <xdr:row>1</xdr:row>
      <xdr:rowOff>53340</xdr:rowOff>
    </xdr:from>
    <xdr:to>
      <xdr:col>12</xdr:col>
      <xdr:colOff>693420</xdr:colOff>
      <xdr:row>1</xdr:row>
      <xdr:rowOff>305340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ADADFF-0378-46B2-B28C-51A8B5C6A038}"/>
            </a:ext>
          </a:extLst>
        </xdr:cNvPr>
        <xdr:cNvSpPr/>
      </xdr:nvSpPr>
      <xdr:spPr>
        <a:xfrm>
          <a:off x="8877300" y="23622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45720</xdr:colOff>
      <xdr:row>1</xdr:row>
      <xdr:rowOff>53340</xdr:rowOff>
    </xdr:from>
    <xdr:to>
      <xdr:col>13</xdr:col>
      <xdr:colOff>1013460</xdr:colOff>
      <xdr:row>1</xdr:row>
      <xdr:rowOff>305340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9BA9FB5-FB37-4A3A-84FA-7654F3009A13}"/>
            </a:ext>
          </a:extLst>
        </xdr:cNvPr>
        <xdr:cNvSpPr/>
      </xdr:nvSpPr>
      <xdr:spPr>
        <a:xfrm>
          <a:off x="9852660" y="23622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3</xdr:row>
      <xdr:rowOff>7620</xdr:rowOff>
    </xdr:from>
    <xdr:to>
      <xdr:col>1</xdr:col>
      <xdr:colOff>457200</xdr:colOff>
      <xdr:row>5</xdr:row>
      <xdr:rowOff>129540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8CE65A3B-22BB-4D8A-95CC-7FB47CA246A4}"/>
            </a:ext>
          </a:extLst>
        </xdr:cNvPr>
        <xdr:cNvSpPr/>
      </xdr:nvSpPr>
      <xdr:spPr>
        <a:xfrm>
          <a:off x="152400" y="8534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152400</xdr:colOff>
      <xdr:row>5</xdr:row>
      <xdr:rowOff>175260</xdr:rowOff>
    </xdr:from>
    <xdr:to>
      <xdr:col>1</xdr:col>
      <xdr:colOff>457200</xdr:colOff>
      <xdr:row>8</xdr:row>
      <xdr:rowOff>45720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20BDF13B-395C-4A67-ADA4-EF2583F06F5E}"/>
            </a:ext>
          </a:extLst>
        </xdr:cNvPr>
        <xdr:cNvSpPr/>
      </xdr:nvSpPr>
      <xdr:spPr>
        <a:xfrm>
          <a:off x="152400" y="13868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160020</xdr:colOff>
      <xdr:row>8</xdr:row>
      <xdr:rowOff>91440</xdr:rowOff>
    </xdr:from>
    <xdr:to>
      <xdr:col>1</xdr:col>
      <xdr:colOff>464820</xdr:colOff>
      <xdr:row>11</xdr:row>
      <xdr:rowOff>22860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EE04B6BB-93A4-450C-BDB7-46A5F88553E7}"/>
            </a:ext>
          </a:extLst>
        </xdr:cNvPr>
        <xdr:cNvSpPr/>
      </xdr:nvSpPr>
      <xdr:spPr>
        <a:xfrm>
          <a:off x="160020" y="19202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Inserir</a:t>
          </a:r>
          <a:r>
            <a:rPr lang="pt-BR" sz="1100" baseline="0">
              <a:solidFill>
                <a:srgbClr val="FF0000"/>
              </a:solidFill>
            </a:rPr>
            <a:t> Produto</a:t>
          </a:r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883920</xdr:colOff>
      <xdr:row>1</xdr:row>
      <xdr:rowOff>53340</xdr:rowOff>
    </xdr:from>
    <xdr:to>
      <xdr:col>12</xdr:col>
      <xdr:colOff>678180</xdr:colOff>
      <xdr:row>1</xdr:row>
      <xdr:rowOff>305340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2321F5-BF0E-481E-AB51-238C7B9571C6}"/>
            </a:ext>
          </a:extLst>
        </xdr:cNvPr>
        <xdr:cNvSpPr/>
      </xdr:nvSpPr>
      <xdr:spPr>
        <a:xfrm>
          <a:off x="8862060" y="23622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30480</xdr:colOff>
      <xdr:row>1</xdr:row>
      <xdr:rowOff>53340</xdr:rowOff>
    </xdr:from>
    <xdr:to>
      <xdr:col>13</xdr:col>
      <xdr:colOff>998220</xdr:colOff>
      <xdr:row>1</xdr:row>
      <xdr:rowOff>305340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857B04-7A52-4D01-AC59-22941C71103D}"/>
            </a:ext>
          </a:extLst>
        </xdr:cNvPr>
        <xdr:cNvSpPr/>
      </xdr:nvSpPr>
      <xdr:spPr>
        <a:xfrm>
          <a:off x="9837420" y="23622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167640</xdr:colOff>
      <xdr:row>3</xdr:row>
      <xdr:rowOff>7620</xdr:rowOff>
    </xdr:from>
    <xdr:to>
      <xdr:col>1</xdr:col>
      <xdr:colOff>472440</xdr:colOff>
      <xdr:row>5</xdr:row>
      <xdr:rowOff>129540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6D25CD5E-4F65-4D09-AC59-11C7E687C349}"/>
            </a:ext>
          </a:extLst>
        </xdr:cNvPr>
        <xdr:cNvSpPr/>
      </xdr:nvSpPr>
      <xdr:spPr>
        <a:xfrm>
          <a:off x="167640" y="8534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167640</xdr:colOff>
      <xdr:row>5</xdr:row>
      <xdr:rowOff>175260</xdr:rowOff>
    </xdr:from>
    <xdr:to>
      <xdr:col>1</xdr:col>
      <xdr:colOff>472440</xdr:colOff>
      <xdr:row>8</xdr:row>
      <xdr:rowOff>45720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B9E4F65C-61B6-4084-8A3D-E407066FC037}"/>
            </a:ext>
          </a:extLst>
        </xdr:cNvPr>
        <xdr:cNvSpPr/>
      </xdr:nvSpPr>
      <xdr:spPr>
        <a:xfrm>
          <a:off x="167640" y="13868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175260</xdr:colOff>
      <xdr:row>8</xdr:row>
      <xdr:rowOff>91440</xdr:rowOff>
    </xdr:from>
    <xdr:to>
      <xdr:col>1</xdr:col>
      <xdr:colOff>480060</xdr:colOff>
      <xdr:row>11</xdr:row>
      <xdr:rowOff>22860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22EBF9EF-501D-4AA2-9DE6-025925D16B26}"/>
            </a:ext>
          </a:extLst>
        </xdr:cNvPr>
        <xdr:cNvSpPr/>
      </xdr:nvSpPr>
      <xdr:spPr>
        <a:xfrm>
          <a:off x="175260" y="19202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Inserir</a:t>
          </a:r>
          <a:r>
            <a:rPr lang="pt-BR" sz="1100" baseline="0">
              <a:solidFill>
                <a:srgbClr val="FF0000"/>
              </a:solidFill>
            </a:rPr>
            <a:t> Produto</a:t>
          </a:r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883920</xdr:colOff>
      <xdr:row>1</xdr:row>
      <xdr:rowOff>45720</xdr:rowOff>
    </xdr:from>
    <xdr:to>
      <xdr:col>12</xdr:col>
      <xdr:colOff>678180</xdr:colOff>
      <xdr:row>1</xdr:row>
      <xdr:rowOff>297720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0F5EE9-F92E-4F9D-B64E-C7AAB88AB47C}"/>
            </a:ext>
          </a:extLst>
        </xdr:cNvPr>
        <xdr:cNvSpPr/>
      </xdr:nvSpPr>
      <xdr:spPr>
        <a:xfrm>
          <a:off x="8862060" y="22860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30480</xdr:colOff>
      <xdr:row>1</xdr:row>
      <xdr:rowOff>45720</xdr:rowOff>
    </xdr:from>
    <xdr:to>
      <xdr:col>13</xdr:col>
      <xdr:colOff>998220</xdr:colOff>
      <xdr:row>1</xdr:row>
      <xdr:rowOff>297720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855948C-BF08-4A69-8721-7879CF72CF99}"/>
            </a:ext>
          </a:extLst>
        </xdr:cNvPr>
        <xdr:cNvSpPr/>
      </xdr:nvSpPr>
      <xdr:spPr>
        <a:xfrm>
          <a:off x="9837420" y="22860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175260</xdr:colOff>
      <xdr:row>3</xdr:row>
      <xdr:rowOff>7620</xdr:rowOff>
    </xdr:from>
    <xdr:to>
      <xdr:col>1</xdr:col>
      <xdr:colOff>480060</xdr:colOff>
      <xdr:row>5</xdr:row>
      <xdr:rowOff>129540</xdr:rowOff>
    </xdr:to>
    <xdr:sp macro="[0]!excluir_venda" textlink="">
      <xdr:nvSpPr>
        <xdr:cNvPr id="2" name="Retângulo 1">
          <a:extLst>
            <a:ext uri="{FF2B5EF4-FFF2-40B4-BE49-F238E27FC236}">
              <a16:creationId xmlns:a16="http://schemas.microsoft.com/office/drawing/2014/main" id="{95FCA5B6-0560-4DC4-BF4A-26620C4D5BD4}"/>
            </a:ext>
          </a:extLst>
        </xdr:cNvPr>
        <xdr:cNvSpPr/>
      </xdr:nvSpPr>
      <xdr:spPr>
        <a:xfrm>
          <a:off x="175260" y="8534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Excluir Registro</a:t>
          </a:r>
        </a:p>
      </xdr:txBody>
    </xdr:sp>
    <xdr:clientData/>
  </xdr:twoCellAnchor>
  <xdr:twoCellAnchor editAs="absolute">
    <xdr:from>
      <xdr:col>0</xdr:col>
      <xdr:colOff>175260</xdr:colOff>
      <xdr:row>5</xdr:row>
      <xdr:rowOff>175260</xdr:rowOff>
    </xdr:from>
    <xdr:to>
      <xdr:col>1</xdr:col>
      <xdr:colOff>480060</xdr:colOff>
      <xdr:row>8</xdr:row>
      <xdr:rowOff>45720</xdr:rowOff>
    </xdr:to>
    <xdr:sp macro="[0]!inserir_nova_venda" textlink="">
      <xdr:nvSpPr>
        <xdr:cNvPr id="3" name="Retângulo 2">
          <a:extLst>
            <a:ext uri="{FF2B5EF4-FFF2-40B4-BE49-F238E27FC236}">
              <a16:creationId xmlns:a16="http://schemas.microsoft.com/office/drawing/2014/main" id="{55349F85-869B-4BE2-950E-0BD070721F4F}"/>
            </a:ext>
          </a:extLst>
        </xdr:cNvPr>
        <xdr:cNvSpPr/>
      </xdr:nvSpPr>
      <xdr:spPr>
        <a:xfrm>
          <a:off x="175260" y="13868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Nova Venda</a:t>
          </a:r>
        </a:p>
      </xdr:txBody>
    </xdr:sp>
    <xdr:clientData/>
  </xdr:twoCellAnchor>
  <xdr:twoCellAnchor editAs="absolute">
    <xdr:from>
      <xdr:col>0</xdr:col>
      <xdr:colOff>182880</xdr:colOff>
      <xdr:row>8</xdr:row>
      <xdr:rowOff>91440</xdr:rowOff>
    </xdr:from>
    <xdr:to>
      <xdr:col>1</xdr:col>
      <xdr:colOff>487680</xdr:colOff>
      <xdr:row>11</xdr:row>
      <xdr:rowOff>22860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3D52FC67-8A8B-4F92-9795-18CE4B97B339}"/>
            </a:ext>
          </a:extLst>
        </xdr:cNvPr>
        <xdr:cNvSpPr/>
      </xdr:nvSpPr>
      <xdr:spPr>
        <a:xfrm>
          <a:off x="182880" y="1920240"/>
          <a:ext cx="914400" cy="487680"/>
        </a:xfrm>
        <a:prstGeom prst="rect">
          <a:avLst/>
        </a:prstGeom>
        <a:ln>
          <a:solidFill>
            <a:srgbClr val="FF5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Inserir</a:t>
          </a:r>
          <a:r>
            <a:rPr lang="pt-BR" sz="1100" baseline="0">
              <a:solidFill>
                <a:srgbClr val="FF0000"/>
              </a:solidFill>
            </a:rPr>
            <a:t> Produto</a:t>
          </a:r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899160</xdr:colOff>
      <xdr:row>1</xdr:row>
      <xdr:rowOff>53340</xdr:rowOff>
    </xdr:from>
    <xdr:to>
      <xdr:col>12</xdr:col>
      <xdr:colOff>693420</xdr:colOff>
      <xdr:row>1</xdr:row>
      <xdr:rowOff>305340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2B78AF-01E5-4FCF-8DD2-9E4C94BBD3DB}"/>
            </a:ext>
          </a:extLst>
        </xdr:cNvPr>
        <xdr:cNvSpPr/>
      </xdr:nvSpPr>
      <xdr:spPr>
        <a:xfrm>
          <a:off x="8877300" y="236220"/>
          <a:ext cx="91440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13</xdr:col>
      <xdr:colOff>45720</xdr:colOff>
      <xdr:row>1</xdr:row>
      <xdr:rowOff>53340</xdr:rowOff>
    </xdr:from>
    <xdr:to>
      <xdr:col>13</xdr:col>
      <xdr:colOff>1013460</xdr:colOff>
      <xdr:row>1</xdr:row>
      <xdr:rowOff>305340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4E20318-7566-44BC-9512-B0BEE6AEEAE1}"/>
            </a:ext>
          </a:extLst>
        </xdr:cNvPr>
        <xdr:cNvSpPr/>
      </xdr:nvSpPr>
      <xdr:spPr>
        <a:xfrm>
          <a:off x="9852660" y="236220"/>
          <a:ext cx="967740" cy="252000"/>
        </a:xfrm>
        <a:prstGeom prst="rect">
          <a:avLst/>
        </a:prstGeom>
        <a:noFill/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ustavo Esporte dos Santos" id="{671658E8-5894-4148-A1C4-F809197B392C}" userId="Gustavo Esporte dos Santos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E6389C-4492-4792-BC9E-55C479A7D350}" name="Tabela1" displayName="Tabela1" ref="B4:G29" totalsRowCount="1">
  <autoFilter ref="B4:G28" xr:uid="{8B5C204B-3A40-42C1-A76E-A39AF4AE0959}"/>
  <tableColumns count="6">
    <tableColumn id="1" xr3:uid="{CBD608DE-1A5B-476A-8CB7-A120C8297A76}" name="Despesas de Funcionamento" totalsRowLabel="Total Despesas de Funcionamento"/>
    <tableColumn id="2" xr3:uid="{3948E60B-2F93-4232-B88C-071849C2E9FD}" name="Itens Despesa"/>
    <tableColumn id="3" xr3:uid="{F09AF878-CFC0-4C18-A54E-E51AB4CD8DD7}" name="Data" dataDxfId="82" totalsRowDxfId="81"/>
    <tableColumn id="4" xr3:uid="{66C59711-A5CB-4800-8304-53382E3E9A71}" name="Observação "/>
    <tableColumn id="5" xr3:uid="{777697DB-A181-4F78-B77A-5B8A3AD4C0EE}" name="Valor Intermediário" totalsRowDxfId="80" dataCellStyle="Moeda" totalsRowCellStyle="Moeda"/>
    <tableColumn id="6" xr3:uid="{BEC697E1-319C-4C05-879A-D7F6A555F522}" name="Valor Final" totalsRowFunction="sum" totalsRowDxfId="79" dataCellStyle="Moeda" totalsRowCellStyle="Moeda"/>
  </tableColumns>
  <tableStyleInfo name="TableStyleMedium3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888488-D475-4F78-A311-4B5A55AABAD5}" name="Tabela2" displayName="Tabela2" ref="C4:J6" totalsRowCount="1">
  <autoFilter ref="C4:J5" xr:uid="{7A483E7A-9489-43F3-91D1-A086DCCE1102}"/>
  <sortState xmlns:xlrd2="http://schemas.microsoft.com/office/spreadsheetml/2017/richdata2" ref="C5:J5">
    <sortCondition descending="1" ref="C4:C5"/>
  </sortState>
  <tableColumns count="8">
    <tableColumn id="1" xr3:uid="{F50BD128-2462-468F-AD91-DD9CD92EAE33}" name="Data" totalsRowLabel="Total" dataDxfId="78" totalsRowDxfId="14"/>
    <tableColumn id="2" xr3:uid="{CFDD9BE1-1FCA-4FFA-9438-9B50D4BB4FC0}" name="Fornecedor"/>
    <tableColumn id="3" xr3:uid="{5FC24650-B358-4D79-AD1A-A8881DDB3249}" name="Mercadoria"/>
    <tableColumn id="4" xr3:uid="{6CEDE3A3-4D2B-48C6-ABC5-6A503ACAF989}" name="Unidade de Medida" dataDxfId="77" totalsRowDxfId="13">
      <calculatedColumnFormula>IFERROR((VLOOKUP(Tabela2[[#This Row],[Mercadoria]],cálculos!$H$3:'cálculos'!$K$26,4,FALSE)),"")</calculatedColumnFormula>
    </tableColumn>
    <tableColumn id="5" xr3:uid="{EDE2B616-9D14-4B26-9F99-9335A6428A1E}" name="Quantidade"/>
    <tableColumn id="6" xr3:uid="{3DB87CF0-8092-428B-A9DE-80BDC4620292}" name="Preço Unitário" dataDxfId="76" totalsRowDxfId="12" dataCellStyle="Moeda">
      <calculatedColumnFormula>IFERROR((VLOOKUP(Tabela2[[#This Row],[Mercadoria]],cálculos!$H$3:'cálculos'!$K$26,2,FALSE)),"")</calculatedColumnFormula>
    </tableColumn>
    <tableColumn id="7" xr3:uid="{B450864F-ADB0-4038-A845-BE9628DE133D}" name="Desconto" dataDxfId="75" totalsRowDxfId="11"/>
    <tableColumn id="8" xr3:uid="{C4AE1CB2-A69A-4B2F-9CC9-3E2E3C7349BA}" name="Valor Pago" totalsRowFunction="sum" dataDxfId="74" totalsRowDxfId="10" dataCellStyle="Moeda">
      <calculatedColumnFormula>IFERROR(Tabela2[[#This Row],[Quantidade]]*Tabela2[[#This Row],[Preço Unitário]]*(1-Tabela2[[#This Row],[Desconto]]),0)</calculatedColumnFormula>
    </tableColumn>
  </tableColumns>
  <tableStyleInfo name="TableStyleMedium3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BF3AD1-95CA-48DF-ACA4-51AE59D76EB0}" name="Tabela4" displayName="Tabela4" ref="B4:H28">
  <autoFilter ref="B4:H28" xr:uid="{1CC00679-750C-4E8E-9C17-D07CBF2D0D6F}"/>
  <tableColumns count="7">
    <tableColumn id="1" xr3:uid="{94920865-6A7E-42DF-805D-B0F1B7058917}" name="Produto" totalsRowLabel="Total"/>
    <tableColumn id="2" xr3:uid="{C6E88BF5-848A-468E-AF4C-117E7928B64F}" name="Data da Última Compra" dataDxfId="73">
      <calculatedColumnFormula>IFERROR(INDEX(Tabela2[[Data]:[Mercadoria]],MATCH(Tabela4[[#This Row],[Produto]],Tabela2[Mercadoria],0),1),"")</calculatedColumnFormula>
    </tableColumn>
    <tableColumn id="7" xr3:uid="{B1F210AE-174A-4BCD-851F-E9584C71C630}" name="Quantidade Inicial"/>
    <tableColumn id="3" xr3:uid="{81584A08-E371-49D6-84D0-74E4521C73E8}" name="Quantidade Comprada">
      <calculatedColumnFormula>SUMIF(Tabela2[Mercadoria],Tabela4[[#This Row],[Produto]],Tabela2[Quantidade])</calculatedColumnFormula>
    </tableColumn>
    <tableColumn id="4" xr3:uid="{C16231DC-4AFF-4A06-9D5E-920C2F6D694D}" name="Quantidade Vendida" dataDxfId="72">
      <calculatedColumnFormula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calculatedColumnFormula>
    </tableColumn>
    <tableColumn id="5" xr3:uid="{1206D2B1-FC0F-4A1B-9259-25CD3D613CEF}" name="Quantidade Atual" dataDxfId="71">
      <calculatedColumnFormula>SUM(Tabela4[[#This Row],[Quantidade Inicial]:[Quantidade Comprada]])-Tabela4[[#This Row],[Quantidade Vendida]]</calculatedColumnFormula>
    </tableColumn>
    <tableColumn id="6" xr3:uid="{A2FD714A-5CAA-45C3-B34E-9C1399888118}" name="Situação" totalsRowFunction="count" dataDxfId="70">
      <calculatedColumnFormula>IF(Tabela4[[#This Row],[Quantidade Atual]]&lt;50,IF(Tabela4[[#This Row],[Quantidade Atual]]&lt;21,"Comprar","Atenção"),"Ok")</calculatedColumnFormula>
    </tableColumn>
  </tableColumns>
  <tableStyleInfo name="TableStyleMedium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F1D662-E195-4BA6-BD8F-FEC444D0A03F}" name="Tabela3" displayName="Tabela3" ref="B4:E10" totalsRowCount="1">
  <autoFilter ref="B4:E9" xr:uid="{1B021DC2-FA95-4485-9A10-BBD55072789A}"/>
  <tableColumns count="4">
    <tableColumn id="1" xr3:uid="{F60F4714-8FCA-42BA-887B-17A73AF6FE09}" name="Investimentos" totalsRowLabel="Total"/>
    <tableColumn id="2" xr3:uid="{AE2FB303-E59B-4CAF-9EFD-071356A7E98F}" name="Data" dataDxfId="69"/>
    <tableColumn id="3" xr3:uid="{EE15F658-47F4-4B65-832E-03AA90D4F8D8}" name="Descrição" dataDxfId="68" totalsRowDxfId="67"/>
    <tableColumn id="4" xr3:uid="{B0EB698D-ACE7-4B15-97EB-1B9A21093F50}" name="Valor" totalsRowFunction="sum" totalsRowDxfId="66" dataCellStyle="Moeda"/>
  </tableColumns>
  <tableStyleInfo name="TableStyleMedium3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C642C5-58EE-4DFA-81AD-4C2265E9B857}" name="Tabela5" displayName="Tabela5" ref="C4:N8" insertRowShift="1" totalsRowCount="1">
  <autoFilter ref="C4:N7" xr:uid="{859EAD7E-B6FE-4590-8B72-080FE15AECEE}"/>
  <tableColumns count="12">
    <tableColumn id="1" xr3:uid="{4510E38C-3389-4F2E-9620-0BAC5E8F913E}" name="Id da Venda" totalsRowLabel="Total"/>
    <tableColumn id="2" xr3:uid="{F5F98E97-A428-4DD4-BA60-4570EE489275}" name="Data" dataDxfId="65"/>
    <tableColumn id="3" xr3:uid="{7A5C8EA3-8DD6-4D1F-B4F1-77310BB9D80F}" name="Produto"/>
    <tableColumn id="4" xr3:uid="{96D33858-6232-4A3B-A25A-46BE2327BDBF}" name="Medida" dataDxfId="64">
      <calculatedColumnFormula>IFERROR(VLOOKUP(Tabela5[[#This Row],[Produto]],cálculos!$H$3:$K$26,4,0),"")</calculatedColumnFormula>
    </tableColumn>
    <tableColumn id="5" xr3:uid="{5C6136B2-C3A3-4008-B668-90618235B853}" name="Quantidade"/>
    <tableColumn id="6" xr3:uid="{0895B88F-A1E6-47B6-BCE0-3C63F9CE7910}" name="Preço Unitário" dataDxfId="63" totalsRowDxfId="4" dataCellStyle="Moeda">
      <calculatedColumnFormula>IFERROR(VLOOKUP(Tabela5[[#This Row],[Produto]],cálculos!$H$3:$K$26,3,0),"")</calculatedColumnFormula>
    </tableColumn>
    <tableColumn id="7" xr3:uid="{A8384219-3E7D-42CC-85B5-6D876D71AD6B}" name="Subtotal" totalsRowDxfId="3" dataCellStyle="Moeda">
      <calculatedColumnFormula>IFERROR(Tabela5[[#This Row],[Preço Unitário]]*Tabela5[[#This Row],[Quantidade]],"")</calculatedColumnFormula>
    </tableColumn>
    <tableColumn id="8" xr3:uid="{B0D31CBA-C1EA-4F3A-8AD1-3D256558CFBD}" name="Desconto" totalsRowDxfId="2" dataCellStyle="Porcentagem"/>
    <tableColumn id="9" xr3:uid="{A7D69080-27A8-4430-839A-DFB288A0CE47}" name="Entrega"/>
    <tableColumn id="10" xr3:uid="{CC1F5777-B2CF-4207-8727-94FAC61FC16F}" name="Valor de Entrega" totalsRowFunction="sum" dataDxfId="62" totalsRowDxfId="1" dataCellStyle="Moeda">
      <calculatedColumnFormula>IFERROR(IF(AND(Tabela5[[#This Row],[Entrega]]=K6,Tabela5[[#This Row],[Id da Venda]]=C6),0,VLOOKUP(Tabela5[[#This Row],[Entrega]],cálculos!$A$3:$B$7,2,0)),0)</calculatedColumnFormula>
    </tableColumn>
    <tableColumn id="11" xr3:uid="{AFBB2901-C410-48F0-934D-323CB845D73D}" name="Total" dataDxfId="61">
      <calculatedColumnFormula>IFERROR(SUM(Tabela5[[#This Row],[Subtotal]]*(1-Tabela5[[#This Row],[Desconto]]),Tabela5[[#This Row],[Valor de Entrega]]),"")</calculatedColumnFormula>
    </tableColumn>
    <tableColumn id="12" xr3:uid="{73E330BC-29E2-4283-9B3C-6632E7953BAD}" name="Total para o Cliente" totalsRowFunction="sum" dataDxfId="60" totalsRowDxfId="0">
      <calculatedColumnFormula>IFERROR(IF(Tabela5[[#This Row],[Id da Venda]]=C6,"",SUMIF(Tabela5[Id da Venda],Tabela5[[#This Row],[Id da Venda]],Tabela5[Total])),"")</calculatedColumnFormula>
    </tableColumn>
  </tableColumns>
  <tableStyleInfo name="TableStyleMedium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EB1E161-888A-4B19-9389-6DF82FCA7076}" name="Tabela511" displayName="Tabela511" ref="C4:N6" insertRowShift="1" totalsRowCount="1">
  <autoFilter ref="C4:N5" xr:uid="{19BB4B86-694F-4E23-BEE2-6E06F1F00746}"/>
  <tableColumns count="12">
    <tableColumn id="1" xr3:uid="{B7454CCC-9414-45A5-8FC7-575B3A0D849F}" name="Id da Venda" totalsRowLabel="Total" dataDxfId="59"/>
    <tableColumn id="2" xr3:uid="{3AEB9D44-B709-4DF0-ABD7-F33611396AB9}" name="Data" dataDxfId="58">
      <calculatedColumnFormula>TODAY()</calculatedColumnFormula>
    </tableColumn>
    <tableColumn id="3" xr3:uid="{2F3499C2-8BD4-4178-81B0-0F74B78DE2D4}" name="Produto"/>
    <tableColumn id="4" xr3:uid="{A6E55325-1792-4026-89B0-BF91D3C0ABA9}" name="Medida" dataDxfId="57">
      <calculatedColumnFormula>IFERROR(VLOOKUP(Tabela511[[#This Row],[Produto]],cálculos!$H$3:$K$26,4,0),"")</calculatedColumnFormula>
    </tableColumn>
    <tableColumn id="5" xr3:uid="{A3213595-5DDA-47B5-A124-AF74A71F8F01}" name="Quantidade"/>
    <tableColumn id="6" xr3:uid="{2A26FB1D-50DE-4EB6-A177-C8BB037CBC11}" name="Preço Unitário" dataDxfId="56" totalsRowDxfId="55" dataCellStyle="Moeda">
      <calculatedColumnFormula>IFERROR(VLOOKUP(Tabela511[[#This Row],[Produto]],cálculos!$H$3:$K$26,3,0),"")</calculatedColumnFormula>
    </tableColumn>
    <tableColumn id="7" xr3:uid="{6FB73157-ED0E-4DCC-AC8C-3FB8450DFDFA}" name="Subtotal" totalsRowDxfId="54" dataCellStyle="Moeda">
      <calculatedColumnFormula>IFERROR(Tabela511[[#This Row],[Preço Unitário]]*Tabela511[[#This Row],[Quantidade]],"")</calculatedColumnFormula>
    </tableColumn>
    <tableColumn id="8" xr3:uid="{C514C607-9257-4A09-AB35-5B8FBCE50CE3}" name="Desconto" totalsRowDxfId="53" dataCellStyle="Porcentagem"/>
    <tableColumn id="9" xr3:uid="{53F12EBF-B35B-424E-9D8E-E6583B159CF7}" name="Entrega"/>
    <tableColumn id="10" xr3:uid="{497AD6C5-F00B-48F8-A6BC-489C71CB61A1}" name="Valor de Entrega" totalsRowFunction="sum" dataDxfId="52" totalsRowDxfId="51" dataCellStyle="Moeda">
      <calculatedColumnFormula>IFERROR(IF(AND(Tabela511[[#This Row],[Entrega]]=K6,Tabela511[[#This Row],[Id da Venda]]=C6),0,VLOOKUP(Tabela511[[#This Row],[Entrega]],cálculos!$A$3:$B$7,2,0)),0)</calculatedColumnFormula>
    </tableColumn>
    <tableColumn id="11" xr3:uid="{61915F40-6EBC-4D2B-8A9E-73BFADC71EBD}" name="Total" dataDxfId="50">
      <calculatedColumnFormula>IFERROR(SUM(Tabela511[[#This Row],[Subtotal]]*(1-Tabela511[[#This Row],[Desconto]]),Tabela511[[#This Row],[Valor de Entrega]]),"")</calculatedColumnFormula>
    </tableColumn>
    <tableColumn id="12" xr3:uid="{5C2282C5-7C0D-4968-B180-6FB7399667CE}" name="Total para o Cliente" totalsRowFunction="sum" dataDxfId="49" totalsRowDxfId="48">
      <calculatedColumnFormula>IFERROR(IF(Tabela511[[#This Row],[Id da Venda]]=C6,"",SUMIF(Tabela511[Id da Venda],Tabela511[[#This Row],[Id da Venda]],Tabela511[Total])),"")</calculatedColumnFormula>
    </tableColumn>
  </tableColumns>
  <tableStyleInfo name="TableStyleMedium3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460DF0-E064-48A5-9314-69A873729EAE}" name="Tabela51112" displayName="Tabela51112" ref="C4:N6" insertRowShift="1" totalsRowCount="1">
  <autoFilter ref="C4:N5" xr:uid="{B5779FBA-9853-4DE4-97D7-A61F31D1E160}"/>
  <tableColumns count="12">
    <tableColumn id="1" xr3:uid="{158167C5-71D3-432B-BB8B-70EA2611481A}" name="Id da Venda" totalsRowLabel="Total"/>
    <tableColumn id="2" xr3:uid="{9A129BB5-FEFA-462B-911F-50EAD64354E6}" name="Data" dataDxfId="47">
      <calculatedColumnFormula>TODAY()</calculatedColumnFormula>
    </tableColumn>
    <tableColumn id="3" xr3:uid="{ABC31E9F-0088-4597-9566-15AE0483CEFB}" name="Produto"/>
    <tableColumn id="4" xr3:uid="{B6599B4C-5548-45AC-9106-E94284D1D1FB}" name="Medida" dataDxfId="46">
      <calculatedColumnFormula>IFERROR(VLOOKUP(Tabela51112[[#This Row],[Produto]],cálculos!$H$3:$K$26,4,0),"")</calculatedColumnFormula>
    </tableColumn>
    <tableColumn id="5" xr3:uid="{B0AFC5DD-EFC0-4FCC-8234-3E6C87FDBC60}" name="Quantidade"/>
    <tableColumn id="6" xr3:uid="{5DD7AD77-815B-4317-A793-7DDE16419306}" name="Preço Unitário" dataDxfId="45" totalsRowDxfId="44" dataCellStyle="Moeda">
      <calculatedColumnFormula>IFERROR(VLOOKUP(Tabela51112[[#This Row],[Produto]],cálculos!$H$3:$K$26,3,0),"")</calculatedColumnFormula>
    </tableColumn>
    <tableColumn id="7" xr3:uid="{91AB7646-B88F-42D2-8192-F1A35C1AAC14}" name="Subtotal" totalsRowDxfId="43" dataCellStyle="Moeda">
      <calculatedColumnFormula>IFERROR(Tabela51112[[#This Row],[Preço Unitário]]*Tabela51112[[#This Row],[Quantidade]],"")</calculatedColumnFormula>
    </tableColumn>
    <tableColumn id="8" xr3:uid="{48157A86-0D21-4517-A152-A218A46F4FB8}" name="Desconto" totalsRowDxfId="42" dataCellStyle="Porcentagem"/>
    <tableColumn id="9" xr3:uid="{C88ACA5D-98A8-4112-A0D7-9E1F4877345E}" name="Entrega"/>
    <tableColumn id="10" xr3:uid="{B974DA33-2C16-49EE-9251-A206157FF94D}" name="Valor de Entrega" totalsRowFunction="sum" dataDxfId="41" totalsRowDxfId="40" dataCellStyle="Moeda">
      <calculatedColumnFormula>IFERROR(IF(AND(Tabela51112[[#This Row],[Entrega]]=K6,Tabela51112[[#This Row],[Id da Venda]]=C6),0,VLOOKUP(Tabela51112[[#This Row],[Entrega]],cálculos!$A$3:$B$7,2,0)),0)</calculatedColumnFormula>
    </tableColumn>
    <tableColumn id="11" xr3:uid="{38E32ABA-02A1-4A10-8957-10734D095F1A}" name="Total" dataDxfId="39">
      <calculatedColumnFormula>IFERROR(SUM(Tabela51112[[#This Row],[Subtotal]]*(1-Tabela51112[[#This Row],[Desconto]]),Tabela51112[[#This Row],[Valor de Entrega]]),"")</calculatedColumnFormula>
    </tableColumn>
    <tableColumn id="12" xr3:uid="{A642DE73-B90D-4003-A4E9-DD6FD032D79B}" name="Total para o Cliente" totalsRowFunction="sum" dataDxfId="38" totalsRowDxfId="37">
      <calculatedColumnFormula>IFERROR(IF(Tabela51112[[#This Row],[Id da Venda]]=#REF!,"",SUMIF(Tabela51112[Id da Venda],Tabela51112[[#This Row],[Id da Venda]],Tabela51112[Total])),"")</calculatedColumnFormula>
    </tableColumn>
  </tableColumns>
  <tableStyleInfo name="TableStyleMedium3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D3472C-A857-4A57-8AC0-6121D71620FD}" name="Tabela511127" displayName="Tabela511127" ref="C4:N6" insertRowShift="1" totalsRowCount="1">
  <autoFilter ref="C4:N5" xr:uid="{C8401F9F-5922-4C91-84E7-62185C7F7798}"/>
  <tableColumns count="12">
    <tableColumn id="1" xr3:uid="{054493AE-1E3F-4949-8034-F0848AA1D7D6}" name="Id da Venda" totalsRowLabel="Total"/>
    <tableColumn id="2" xr3:uid="{86D7AD54-BE53-4835-856D-C6DD0E9A239B}" name="Data" dataDxfId="36"/>
    <tableColumn id="3" xr3:uid="{133104FE-53FA-4CA3-82FC-0E9FEE85E251}" name="Produto"/>
    <tableColumn id="4" xr3:uid="{8AA4D203-CCCA-41C9-9214-46BE7DF355A7}" name="Medida" dataDxfId="35">
      <calculatedColumnFormula>IFERROR(VLOOKUP(Tabela511127[[#This Row],[Produto]],cálculos!$H$3:$K$26,4,0),"")</calculatedColumnFormula>
    </tableColumn>
    <tableColumn id="5" xr3:uid="{519C996D-60D7-4C64-BFBC-19F99145E294}" name="Quantidade"/>
    <tableColumn id="6" xr3:uid="{4BA707A8-A637-4BA1-A4B5-3F319CF21BC0}" name="Preço Unitário" dataDxfId="34" totalsRowDxfId="33" dataCellStyle="Moeda">
      <calculatedColumnFormula>IFERROR(VLOOKUP(Tabela511127[[#This Row],[Produto]],cálculos!$H$3:$K$26,3,0),"")</calculatedColumnFormula>
    </tableColumn>
    <tableColumn id="7" xr3:uid="{0BFCCF99-16B7-4EA7-AB84-08BE616E488A}" name="Subtotal" totalsRowDxfId="32" dataCellStyle="Moeda">
      <calculatedColumnFormula>IFERROR(Tabela511127[[#This Row],[Preço Unitário]]*Tabela511127[[#This Row],[Quantidade]],"")</calculatedColumnFormula>
    </tableColumn>
    <tableColumn id="8" xr3:uid="{1ED01357-25FA-4169-BE10-9243F286FAEE}" name="Desconto" totalsRowDxfId="31" dataCellStyle="Porcentagem"/>
    <tableColumn id="9" xr3:uid="{BC2F37E8-559B-47C8-9C23-D1D69388C06D}" name="Entrega"/>
    <tableColumn id="10" xr3:uid="{381DBD22-8CFB-4EB5-A4C9-1F839C138985}" name="Valor de Entrega" totalsRowFunction="sum" dataDxfId="30" totalsRowDxfId="29" dataCellStyle="Moeda">
      <calculatedColumnFormula>IFERROR(IF(AND(Tabela511127[[#This Row],[Entrega]]=K6,Tabela511127[[#This Row],[Id da Venda]]=C6),0,VLOOKUP(Tabela511127[[#This Row],[Entrega]],cálculos!$A$3:$B$7,2,0)),0)</calculatedColumnFormula>
    </tableColumn>
    <tableColumn id="11" xr3:uid="{5CB96C1A-6DF0-48FC-8EA1-E516BB2ACA6C}" name="Total" dataDxfId="28">
      <calculatedColumnFormula>IFERROR(SUM(Tabela511127[[#This Row],[Subtotal]]*(1-Tabela511127[[#This Row],[Desconto]]),Tabela511127[[#This Row],[Valor de Entrega]]),"")</calculatedColumnFormula>
    </tableColumn>
    <tableColumn id="12" xr3:uid="{DD36223D-B3C1-474F-8C39-743A4AF6683D}" name="Total para o Cliente" totalsRowFunction="sum" dataDxfId="27" totalsRowDxfId="26">
      <calculatedColumnFormula>IFERROR(IF(Tabela511127[[#This Row],[Id da Venda]]=C6,"",SUMIF(Tabela511127[Id da Venda],Tabela511127[[#This Row],[Id da Venda]],Tabela511127[Total])),"")</calculatedColumnFormula>
    </tableColumn>
  </tableColumns>
  <tableStyleInfo name="TableStyleMedium3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E791D6-3B5C-4E5C-BAC0-177DB611F231}" name="Tabela511128" displayName="Tabela511128" ref="C4:N6" insertRowShift="1" totalsRowCount="1">
  <autoFilter ref="C4:N5" xr:uid="{0D0D7C8C-702A-41C1-BCA8-FA6AF2B4B381}"/>
  <tableColumns count="12">
    <tableColumn id="1" xr3:uid="{15821C44-8C0B-4A85-8AEE-289956CC6E04}" name="Id da Venda" totalsRowLabel="Total"/>
    <tableColumn id="2" xr3:uid="{C98E1836-1B02-43CB-A00B-79BC739099F3}" name="Data" dataDxfId="25"/>
    <tableColumn id="3" xr3:uid="{61C6F692-7B6B-42A2-AB93-786E0CA4D5D0}" name="Produto"/>
    <tableColumn id="4" xr3:uid="{71484747-D47A-4173-AD93-0E5B4F6A8E9B}" name="Medida" dataDxfId="24">
      <calculatedColumnFormula>IFERROR(VLOOKUP(Tabela511128[[#This Row],[Produto]],cálculos!$H$3:$K$26,4,0),"")</calculatedColumnFormula>
    </tableColumn>
    <tableColumn id="5" xr3:uid="{2623D896-CF13-496A-8532-412CE45DF3A0}" name="Quantidade"/>
    <tableColumn id="6" xr3:uid="{63CD90B3-A2B7-475B-A6C4-33E17DA12DA0}" name="Preço Unitário" dataDxfId="23" totalsRowDxfId="22" dataCellStyle="Moeda">
      <calculatedColumnFormula>IFERROR(VLOOKUP(Tabela511128[[#This Row],[Produto]],cálculos!$H$3:$K$26,3,0),"")</calculatedColumnFormula>
    </tableColumn>
    <tableColumn id="7" xr3:uid="{A23B0A1A-21D5-4D8A-BD82-D70309843B7E}" name="Subtotal" totalsRowDxfId="21" dataCellStyle="Moeda">
      <calculatedColumnFormula>IFERROR(Tabela511128[[#This Row],[Preço Unitário]]*Tabela511128[[#This Row],[Quantidade]],"")</calculatedColumnFormula>
    </tableColumn>
    <tableColumn id="8" xr3:uid="{F5357D3D-3D3E-432E-BFE2-C7DE2C9AA7FA}" name="Desconto" totalsRowDxfId="20" dataCellStyle="Porcentagem"/>
    <tableColumn id="9" xr3:uid="{FEB3DF05-CCB7-454E-8002-B1206E9C99F2}" name="Entrega"/>
    <tableColumn id="10" xr3:uid="{60DAB8A3-C422-46F9-A004-89E9FF07C81C}" name="Valor de Entrega" totalsRowFunction="sum" dataDxfId="19" totalsRowDxfId="18" dataCellStyle="Moeda">
      <calculatedColumnFormula>IFERROR(IF(AND(Tabela511128[[#This Row],[Entrega]]=K6,Tabela511128[[#This Row],[Id da Venda]]=C6),0,VLOOKUP(Tabela511128[[#This Row],[Entrega]],cálculos!$A$3:$B$7,2,0)),0)</calculatedColumnFormula>
    </tableColumn>
    <tableColumn id="11" xr3:uid="{99C910AB-B0F6-456B-8669-DECAF9FC486C}" name="Total" dataDxfId="17">
      <calculatedColumnFormula>IFERROR(SUM(Tabela511128[[#This Row],[Subtotal]]*(1-Tabela511128[[#This Row],[Desconto]]),Tabela511128[[#This Row],[Valor de Entrega]]),"")</calculatedColumnFormula>
    </tableColumn>
    <tableColumn id="12" xr3:uid="{ED633A30-188B-4327-96F7-12DFD76EDEF1}" name="Total para o Cliente" totalsRowFunction="sum" dataDxfId="16" totalsRowDxfId="15">
      <calculatedColumnFormula>IFERROR(IF(Tabela511128[[#This Row],[Id da Venda]]=C6,"",SUMIF(Tabela511128[Id da Venda],Tabela511128[[#This Row],[Id da Venda]],Tabela511128[Total])),"")</calculatedColumnFormula>
    </tableColumn>
  </tableColumns>
  <tableStyleInfo name="TableStyleMedium3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0" dT="2019-12-02T22:24:14.07" personId="{671658E8-5894-4148-A1C4-F809197B392C}" id="{B0868505-CCCD-4D63-AE3C-3E860ADA6DE9}">
    <text>Colocar descrição da despesa na coluna da observação</text>
  </threadedComment>
  <threadedComment ref="C18" dT="2019-12-02T22:24:14.07" personId="{671658E8-5894-4148-A1C4-F809197B392C}" id="{C0D6DA4E-9A4A-48AA-826C-1C6A7DE78CCC}">
    <text>Colocar descrição da despesa na coluna da observação</text>
  </threadedComment>
  <threadedComment ref="C26" dT="2019-12-02T22:24:14.07" personId="{671658E8-5894-4148-A1C4-F809197B392C}" id="{1F9D2AF9-91E1-40C7-9D32-AFCC7BAF4396}">
    <text>Colocar descrição da despesa na coluna da observação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8" dT="2019-12-02T22:39:20.11" personId="{671658E8-5894-4148-A1C4-F809197B392C}" id="{98924C7D-D39D-4EFD-8CA2-A293D7D2611C}">
    <text>Imposto considerado de 15%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B31"/>
  <sheetViews>
    <sheetView showGridLines="0" showRowColHeaders="0" tabSelected="1" topLeftCell="A2" zoomScaleNormal="100" workbookViewId="0"/>
  </sheetViews>
  <sheetFormatPr defaultRowHeight="14.4" zeroHeight="1" x14ac:dyDescent="0.3"/>
  <cols>
    <col min="1" max="1" width="0.21875" style="11" customWidth="1"/>
    <col min="2" max="3" width="8.88671875" style="11"/>
    <col min="5" max="5" width="8.88671875" style="11"/>
  </cols>
  <sheetData>
    <row r="1" spans="1:28" ht="0.15" customHeight="1" x14ac:dyDescent="0.3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</row>
    <row r="2" spans="1:28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</row>
    <row r="3" spans="1:28" x14ac:dyDescent="0.3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</row>
    <row r="4" spans="1:28" x14ac:dyDescent="0.3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</row>
    <row r="5" spans="1:28" x14ac:dyDescent="0.3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</row>
    <row r="6" spans="1:28" ht="58.8" customHeight="1" x14ac:dyDescent="0.3">
      <c r="A6" s="31"/>
      <c r="B6" s="31"/>
      <c r="C6" s="31"/>
      <c r="D6" s="31"/>
      <c r="E6" s="31"/>
      <c r="F6" s="31"/>
      <c r="G6" s="31"/>
      <c r="H6" s="31"/>
      <c r="I6" s="31"/>
      <c r="J6" s="67" t="s">
        <v>134</v>
      </c>
      <c r="K6" s="67"/>
      <c r="L6" s="67"/>
      <c r="M6" s="67"/>
      <c r="N6" s="67"/>
      <c r="O6" s="67"/>
      <c r="P6" s="67"/>
      <c r="Q6" s="67"/>
      <c r="R6" s="67"/>
      <c r="S6" s="67"/>
      <c r="T6" s="31"/>
      <c r="U6" s="31"/>
      <c r="V6" s="31"/>
      <c r="W6" s="31"/>
      <c r="X6" s="31"/>
      <c r="Y6" s="31"/>
      <c r="Z6" s="31"/>
      <c r="AA6" s="31"/>
      <c r="AB6" s="31"/>
    </row>
    <row r="7" spans="1:28" ht="58.8" customHeight="1" x14ac:dyDescent="0.3">
      <c r="A7" s="31"/>
      <c r="B7" s="31"/>
      <c r="C7" s="31"/>
      <c r="D7" s="31"/>
      <c r="E7" s="31"/>
      <c r="F7" s="31"/>
      <c r="G7" s="31"/>
      <c r="H7" s="31"/>
      <c r="I7" s="31"/>
      <c r="J7" s="67" t="s">
        <v>135</v>
      </c>
      <c r="K7" s="67"/>
      <c r="L7" s="67"/>
      <c r="M7" s="67"/>
      <c r="N7" s="67"/>
      <c r="O7" s="67"/>
      <c r="P7" s="67"/>
      <c r="Q7" s="67"/>
      <c r="R7" s="67"/>
      <c r="S7" s="67"/>
      <c r="T7" s="31"/>
      <c r="U7" s="31"/>
      <c r="V7" s="31"/>
      <c r="W7" s="31"/>
      <c r="X7" s="31"/>
      <c r="Y7" s="31"/>
      <c r="Z7" s="31"/>
      <c r="AA7" s="31"/>
      <c r="AB7" s="31"/>
    </row>
    <row r="8" spans="1:28" x14ac:dyDescent="0.3">
      <c r="A8" s="31"/>
      <c r="B8" s="31"/>
      <c r="C8" s="31"/>
      <c r="D8" s="31"/>
      <c r="E8" s="31"/>
      <c r="F8" s="31"/>
      <c r="G8" s="31"/>
      <c r="H8" s="31"/>
      <c r="I8" s="31"/>
      <c r="J8" s="33"/>
      <c r="K8" s="33"/>
      <c r="L8" s="33"/>
      <c r="M8" s="33"/>
      <c r="N8" s="33"/>
      <c r="O8" s="33"/>
      <c r="P8" s="33"/>
      <c r="Q8" s="33"/>
      <c r="R8" s="33"/>
      <c r="S8" s="33"/>
      <c r="T8" s="31"/>
      <c r="U8" s="31"/>
      <c r="V8" s="31"/>
      <c r="W8" s="31"/>
      <c r="X8" s="31"/>
      <c r="Y8" s="31"/>
      <c r="Z8" s="31"/>
      <c r="AA8" s="31"/>
      <c r="AB8" s="31"/>
    </row>
    <row r="9" spans="1:28" ht="33" customHeight="1" x14ac:dyDescent="0.3">
      <c r="A9" s="31"/>
      <c r="B9" s="31"/>
      <c r="C9" s="31"/>
      <c r="D9" s="31"/>
      <c r="E9" s="31"/>
      <c r="F9" s="31"/>
      <c r="G9" s="31"/>
      <c r="H9" s="31"/>
      <c r="I9" s="31"/>
      <c r="J9" s="32" t="s">
        <v>136</v>
      </c>
      <c r="K9" s="32" t="s">
        <v>137</v>
      </c>
      <c r="L9" s="32" t="s">
        <v>138</v>
      </c>
      <c r="M9" s="32" t="s">
        <v>136</v>
      </c>
      <c r="N9" s="32" t="s">
        <v>139</v>
      </c>
      <c r="O9" s="32" t="s">
        <v>140</v>
      </c>
      <c r="P9" s="32" t="s">
        <v>137</v>
      </c>
      <c r="Q9" s="32" t="s">
        <v>138</v>
      </c>
      <c r="R9" s="32" t="s">
        <v>139</v>
      </c>
      <c r="S9" s="32" t="s">
        <v>137</v>
      </c>
      <c r="T9" s="31"/>
      <c r="U9" s="31"/>
      <c r="V9" s="31"/>
      <c r="W9" s="31"/>
      <c r="X9" s="31"/>
      <c r="Y9" s="31"/>
      <c r="Z9" s="31"/>
      <c r="AA9" s="31"/>
      <c r="AB9" s="31"/>
    </row>
    <row r="10" spans="1:28" ht="23.4" x14ac:dyDescent="0.45">
      <c r="A10" s="31"/>
      <c r="B10" s="31"/>
      <c r="C10" s="31"/>
      <c r="D10" s="31"/>
      <c r="E10" s="31"/>
      <c r="F10" s="31"/>
      <c r="G10" s="31"/>
      <c r="H10" s="31"/>
      <c r="I10" s="31"/>
      <c r="J10" s="68" t="s">
        <v>141</v>
      </c>
      <c r="K10" s="68"/>
      <c r="L10" s="68"/>
      <c r="M10" s="68"/>
      <c r="N10" s="68"/>
      <c r="O10" s="68"/>
      <c r="P10" s="68"/>
      <c r="Q10" s="68"/>
      <c r="R10" s="68"/>
      <c r="S10" s="68"/>
      <c r="T10" s="31"/>
      <c r="U10" s="31"/>
      <c r="V10" s="31"/>
      <c r="W10" s="31"/>
      <c r="X10" s="31"/>
      <c r="Y10" s="31"/>
      <c r="Z10" s="31"/>
      <c r="AA10" s="31"/>
      <c r="AB10" s="31"/>
    </row>
    <row r="11" spans="1:28" x14ac:dyDescent="0.3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</row>
    <row r="12" spans="1:28" x14ac:dyDescent="0.3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</row>
    <row r="13" spans="1:28" x14ac:dyDescent="0.3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</row>
    <row r="14" spans="1:28" x14ac:dyDescent="0.3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</row>
    <row r="15" spans="1:28" x14ac:dyDescent="0.3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</row>
    <row r="16" spans="1:28" x14ac:dyDescent="0.3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</row>
    <row r="17" spans="1:28" x14ac:dyDescent="0.3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</row>
    <row r="18" spans="1:28" x14ac:dyDescent="0.3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</row>
    <row r="19" spans="1:28" x14ac:dyDescent="0.3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</row>
    <row r="20" spans="1:28" s="11" customFormat="1" x14ac:dyDescent="0.3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</row>
    <row r="21" spans="1:28" x14ac:dyDescent="0.3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</row>
    <row r="22" spans="1:28" s="11" customFormat="1" x14ac:dyDescent="0.3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</row>
    <row r="23" spans="1:28" x14ac:dyDescent="0.3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</row>
    <row r="24" spans="1:28" hidden="1" x14ac:dyDescent="0.3"/>
    <row r="25" spans="1:28" hidden="1" x14ac:dyDescent="0.3"/>
    <row r="26" spans="1:28" hidden="1" x14ac:dyDescent="0.3"/>
    <row r="27" spans="1:28" hidden="1" x14ac:dyDescent="0.3"/>
    <row r="28" spans="1:28" hidden="1" x14ac:dyDescent="0.3"/>
    <row r="29" spans="1:28" hidden="1" x14ac:dyDescent="0.3"/>
    <row r="30" spans="1:28" hidden="1" x14ac:dyDescent="0.3"/>
    <row r="31" spans="1:28" hidden="1" x14ac:dyDescent="0.3"/>
  </sheetData>
  <mergeCells count="3">
    <mergeCell ref="J7:S7"/>
    <mergeCell ref="J6:S6"/>
    <mergeCell ref="J10:S10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G31"/>
  <sheetViews>
    <sheetView showGridLines="0" workbookViewId="0">
      <selection activeCell="C9" sqref="C9"/>
    </sheetView>
  </sheetViews>
  <sheetFormatPr defaultRowHeight="14.4" x14ac:dyDescent="0.3"/>
  <cols>
    <col min="2" max="2" width="27.44140625" bestFit="1" customWidth="1"/>
    <col min="3" max="3" width="24.21875" bestFit="1" customWidth="1"/>
    <col min="4" max="4" width="7.109375" bestFit="1" customWidth="1"/>
    <col min="5" max="5" width="23.44140625" bestFit="1" customWidth="1"/>
    <col min="6" max="6" width="19.77734375" bestFit="1" customWidth="1"/>
    <col min="7" max="7" width="13.109375" bestFit="1" customWidth="1"/>
  </cols>
  <sheetData>
    <row r="2" spans="1:7" s="31" customFormat="1" ht="28.05" customHeight="1" x14ac:dyDescent="0.3">
      <c r="B2" s="34" t="s">
        <v>38</v>
      </c>
    </row>
    <row r="3" spans="1:7" ht="24.6" customHeight="1" x14ac:dyDescent="0.3"/>
    <row r="4" spans="1:7" x14ac:dyDescent="0.3">
      <c r="B4" t="s">
        <v>39</v>
      </c>
      <c r="C4" t="s">
        <v>40</v>
      </c>
      <c r="D4" t="s">
        <v>41</v>
      </c>
      <c r="E4" t="s">
        <v>42</v>
      </c>
      <c r="F4" t="s">
        <v>43</v>
      </c>
      <c r="G4" t="s">
        <v>44</v>
      </c>
    </row>
    <row r="5" spans="1:7" x14ac:dyDescent="0.3">
      <c r="B5" t="s">
        <v>3</v>
      </c>
      <c r="D5" s="5"/>
      <c r="F5" s="2"/>
      <c r="G5" s="2"/>
    </row>
    <row r="6" spans="1:7" x14ac:dyDescent="0.3">
      <c r="B6" t="s">
        <v>49</v>
      </c>
      <c r="C6" t="s">
        <v>8</v>
      </c>
      <c r="D6" s="5"/>
      <c r="F6" s="2"/>
      <c r="G6" s="2">
        <f>SUM(F6:F10)</f>
        <v>0</v>
      </c>
    </row>
    <row r="7" spans="1:7" x14ac:dyDescent="0.3">
      <c r="C7" t="s">
        <v>9</v>
      </c>
      <c r="D7" s="5"/>
      <c r="F7" s="2"/>
      <c r="G7" s="2"/>
    </row>
    <row r="8" spans="1:7" x14ac:dyDescent="0.3">
      <c r="C8" t="s">
        <v>1</v>
      </c>
      <c r="D8" s="5"/>
      <c r="F8" s="2"/>
      <c r="G8" s="2"/>
    </row>
    <row r="9" spans="1:7" x14ac:dyDescent="0.3">
      <c r="C9" t="s">
        <v>10</v>
      </c>
      <c r="D9" s="5"/>
      <c r="F9" s="2"/>
      <c r="G9" s="2"/>
    </row>
    <row r="10" spans="1:7" x14ac:dyDescent="0.3">
      <c r="C10" t="s">
        <v>5</v>
      </c>
      <c r="D10" s="5"/>
      <c r="E10" t="s">
        <v>51</v>
      </c>
      <c r="F10" s="2"/>
      <c r="G10" s="2"/>
    </row>
    <row r="11" spans="1:7" x14ac:dyDescent="0.3">
      <c r="B11" t="s">
        <v>0</v>
      </c>
      <c r="D11" s="5"/>
      <c r="F11" s="2"/>
      <c r="G11" s="2"/>
    </row>
    <row r="12" spans="1:7" x14ac:dyDescent="0.3">
      <c r="B12" t="s">
        <v>1</v>
      </c>
      <c r="D12" s="5"/>
      <c r="F12" s="2"/>
      <c r="G12" s="2"/>
    </row>
    <row r="13" spans="1:7" x14ac:dyDescent="0.3">
      <c r="A13" t="s">
        <v>52</v>
      </c>
      <c r="B13" t="s">
        <v>50</v>
      </c>
      <c r="D13" s="5"/>
      <c r="F13" s="2"/>
      <c r="G13" s="2">
        <f>SUM(F14:F18)</f>
        <v>0</v>
      </c>
    </row>
    <row r="14" spans="1:7" x14ac:dyDescent="0.3">
      <c r="C14" t="s">
        <v>45</v>
      </c>
      <c r="D14" s="5"/>
      <c r="F14" s="2"/>
      <c r="G14" s="2"/>
    </row>
    <row r="15" spans="1:7" x14ac:dyDescent="0.3">
      <c r="C15" t="s">
        <v>46</v>
      </c>
      <c r="D15" s="5"/>
      <c r="F15" s="2"/>
      <c r="G15" s="2"/>
    </row>
    <row r="16" spans="1:7" x14ac:dyDescent="0.3">
      <c r="C16" t="s">
        <v>47</v>
      </c>
      <c r="D16" s="5"/>
      <c r="F16" s="2"/>
      <c r="G16" s="2"/>
    </row>
    <row r="17" spans="2:7" x14ac:dyDescent="0.3">
      <c r="C17" t="s">
        <v>48</v>
      </c>
      <c r="D17" s="5"/>
      <c r="F17" s="2"/>
      <c r="G17" s="2"/>
    </row>
    <row r="18" spans="2:7" x14ac:dyDescent="0.3">
      <c r="C18" s="11" t="s">
        <v>5</v>
      </c>
      <c r="D18" s="5"/>
      <c r="F18" s="2">
        <v>0</v>
      </c>
      <c r="G18" s="2"/>
    </row>
    <row r="19" spans="2:7" x14ac:dyDescent="0.3">
      <c r="B19" t="s">
        <v>2</v>
      </c>
      <c r="D19" s="5"/>
      <c r="F19" s="2"/>
      <c r="G19" s="2"/>
    </row>
    <row r="20" spans="2:7" x14ac:dyDescent="0.3">
      <c r="B20" t="s">
        <v>12</v>
      </c>
      <c r="D20" s="5"/>
      <c r="F20" s="2"/>
      <c r="G20" s="2">
        <f>SUM(F21:F26)</f>
        <v>0</v>
      </c>
    </row>
    <row r="21" spans="2:7" x14ac:dyDescent="0.3">
      <c r="C21" t="s">
        <v>13</v>
      </c>
      <c r="D21" s="5"/>
      <c r="F21" s="2"/>
      <c r="G21" s="2"/>
    </row>
    <row r="22" spans="2:7" x14ac:dyDescent="0.3">
      <c r="C22" t="s">
        <v>14</v>
      </c>
      <c r="D22" s="5"/>
      <c r="F22" s="2"/>
      <c r="G22" s="2"/>
    </row>
    <row r="23" spans="2:7" x14ac:dyDescent="0.3">
      <c r="C23" t="s">
        <v>15</v>
      </c>
      <c r="D23" s="5"/>
      <c r="F23" s="2"/>
      <c r="G23" s="2"/>
    </row>
    <row r="24" spans="2:7" x14ac:dyDescent="0.3">
      <c r="C24" t="s">
        <v>16</v>
      </c>
      <c r="D24" s="5"/>
      <c r="F24" s="2"/>
      <c r="G24" s="2"/>
    </row>
    <row r="25" spans="2:7" x14ac:dyDescent="0.3">
      <c r="C25" t="s">
        <v>11</v>
      </c>
      <c r="D25" s="5"/>
      <c r="F25" s="2"/>
      <c r="G25" s="2"/>
    </row>
    <row r="26" spans="2:7" x14ac:dyDescent="0.3">
      <c r="C26" s="11" t="s">
        <v>5</v>
      </c>
      <c r="D26" s="5"/>
      <c r="F26" s="2"/>
      <c r="G26" s="2"/>
    </row>
    <row r="27" spans="2:7" x14ac:dyDescent="0.3">
      <c r="B27" t="s">
        <v>4</v>
      </c>
      <c r="D27" s="5"/>
      <c r="F27" s="2"/>
      <c r="G27" s="2"/>
    </row>
    <row r="28" spans="2:7" x14ac:dyDescent="0.3">
      <c r="B28" t="s">
        <v>5</v>
      </c>
      <c r="D28" s="5"/>
      <c r="F28" s="2"/>
      <c r="G28" s="2"/>
    </row>
    <row r="29" spans="2:7" ht="15" thickBot="1" x14ac:dyDescent="0.35">
      <c r="B29" s="11" t="s">
        <v>85</v>
      </c>
      <c r="C29" s="11"/>
      <c r="D29" s="12"/>
      <c r="E29" s="11"/>
      <c r="F29" s="2"/>
      <c r="G29" s="2">
        <f>SUBTOTAL(109,Tabela1[Valor Final])</f>
        <v>0</v>
      </c>
    </row>
    <row r="30" spans="2:7" ht="15.6" thickTop="1" thickBot="1" x14ac:dyDescent="0.35">
      <c r="B30" s="36" t="s">
        <v>84</v>
      </c>
      <c r="C30" s="35"/>
      <c r="D30" s="37"/>
      <c r="E30" s="35"/>
      <c r="F30" s="38"/>
      <c r="G30" s="39">
        <f>SUBTOTAL(109,Tabela2[Valor Pago])</f>
        <v>0</v>
      </c>
    </row>
    <row r="31" spans="2:7" ht="15" thickTop="1" x14ac:dyDescent="0.3">
      <c r="B31" s="36" t="s">
        <v>86</v>
      </c>
      <c r="C31" s="35"/>
      <c r="D31" s="37"/>
      <c r="E31" s="35"/>
      <c r="F31" s="38"/>
      <c r="G31" s="39">
        <f>SUM(G29:G30)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J6"/>
  <sheetViews>
    <sheetView showGridLines="0" zoomScale="98" zoomScaleNormal="98" workbookViewId="0">
      <selection activeCell="I5" sqref="I5"/>
    </sheetView>
  </sheetViews>
  <sheetFormatPr defaultRowHeight="14.4" x14ac:dyDescent="0.3"/>
  <cols>
    <col min="1" max="1" width="8.88671875" style="11"/>
    <col min="3" max="3" width="11" bestFit="1" customWidth="1"/>
    <col min="4" max="4" width="28.77734375" bestFit="1" customWidth="1"/>
    <col min="5" max="5" width="13.109375" bestFit="1" customWidth="1"/>
    <col min="6" max="6" width="20.44140625" bestFit="1" customWidth="1"/>
    <col min="7" max="7" width="13.33203125" bestFit="1" customWidth="1"/>
    <col min="8" max="8" width="15.6640625" bestFit="1" customWidth="1"/>
    <col min="9" max="9" width="12.21875" bestFit="1" customWidth="1"/>
    <col min="10" max="10" width="12.5546875" bestFit="1" customWidth="1"/>
  </cols>
  <sheetData>
    <row r="2" spans="2:10" s="31" customFormat="1" ht="28.05" customHeight="1" x14ac:dyDescent="0.3">
      <c r="B2" s="34" t="s">
        <v>54</v>
      </c>
    </row>
    <row r="3" spans="2:10" ht="24.6" customHeight="1" x14ac:dyDescent="0.3"/>
    <row r="4" spans="2:10" x14ac:dyDescent="0.3">
      <c r="C4" t="s">
        <v>41</v>
      </c>
      <c r="D4" t="s">
        <v>55</v>
      </c>
      <c r="E4" t="s">
        <v>56</v>
      </c>
      <c r="F4" t="s">
        <v>57</v>
      </c>
      <c r="G4" t="s">
        <v>61</v>
      </c>
      <c r="H4" t="s">
        <v>58</v>
      </c>
      <c r="I4" t="s">
        <v>59</v>
      </c>
      <c r="J4" t="s">
        <v>60</v>
      </c>
    </row>
    <row r="5" spans="2:10" x14ac:dyDescent="0.3">
      <c r="C5" s="8">
        <v>43862</v>
      </c>
      <c r="D5" s="11"/>
      <c r="E5" s="11"/>
      <c r="F5" s="13" t="str">
        <f>IFERROR((VLOOKUP(Tabela2[[#This Row],[Mercadoria]],cálculos!$H$3:'cálculos'!$K$26,4,FALSE)),"")</f>
        <v/>
      </c>
      <c r="G5" s="11"/>
      <c r="H5" s="7" t="str">
        <f>IFERROR((VLOOKUP(Tabela2[[#This Row],[Mercadoria]],cálculos!$H$3:'cálculos'!$K$26,2,FALSE)),"")</f>
        <v/>
      </c>
      <c r="I5" s="9"/>
      <c r="J5" s="30">
        <f>IFERROR(Tabela2[[#This Row],[Quantidade]]*Tabela2[[#This Row],[Preço Unitário]]*(1-Tabela2[[#This Row],[Desconto]]),0)</f>
        <v>0</v>
      </c>
    </row>
    <row r="6" spans="2:10" x14ac:dyDescent="0.3">
      <c r="C6" s="8" t="s">
        <v>53</v>
      </c>
      <c r="F6" s="13"/>
      <c r="H6" s="65"/>
      <c r="I6" s="9"/>
      <c r="J6" s="66">
        <f>SUBTOTAL(109,Tabela2[Valor Pago])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46F949-685C-465D-96BD-441A5AC4FE85}">
          <x14:formula1>
            <xm:f>cálculos!$H$3:$H$26</xm:f>
          </x14:formula1>
          <xm:sqref>E5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2:H28"/>
  <sheetViews>
    <sheetView showGridLines="0" zoomScaleNormal="100" workbookViewId="0">
      <selection activeCell="H5" sqref="H5"/>
    </sheetView>
  </sheetViews>
  <sheetFormatPr defaultRowHeight="14.4" x14ac:dyDescent="0.3"/>
  <cols>
    <col min="2" max="2" width="29.5546875" bestFit="1" customWidth="1"/>
    <col min="3" max="3" width="23.44140625" customWidth="1"/>
    <col min="4" max="4" width="23.44140625" style="11" customWidth="1"/>
    <col min="5" max="5" width="22.88671875" customWidth="1"/>
    <col min="6" max="6" width="21" customWidth="1"/>
    <col min="7" max="7" width="18.44140625" customWidth="1"/>
    <col min="8" max="8" width="10.6640625" customWidth="1"/>
  </cols>
  <sheetData>
    <row r="2" spans="2:8" s="31" customFormat="1" ht="28.05" customHeight="1" x14ac:dyDescent="0.3">
      <c r="B2" s="34" t="s">
        <v>93</v>
      </c>
    </row>
    <row r="3" spans="2:8" ht="24.6" customHeight="1" x14ac:dyDescent="0.3"/>
    <row r="4" spans="2:8" x14ac:dyDescent="0.3">
      <c r="B4" t="s">
        <v>94</v>
      </c>
      <c r="C4" t="s">
        <v>95</v>
      </c>
      <c r="D4" s="11" t="s">
        <v>99</v>
      </c>
      <c r="E4" t="s">
        <v>96</v>
      </c>
      <c r="F4" t="s">
        <v>132</v>
      </c>
      <c r="G4" t="s">
        <v>97</v>
      </c>
      <c r="H4" t="s">
        <v>98</v>
      </c>
    </row>
    <row r="5" spans="2:8" x14ac:dyDescent="0.3">
      <c r="B5" t="s">
        <v>20</v>
      </c>
      <c r="C5" s="12" t="str">
        <f>IFERROR(INDEX(Tabela2[[Data]:[Mercadoria]],MATCH(Tabela4[[#This Row],[Produto]],Tabela2[Mercadoria],0),1),"")</f>
        <v/>
      </c>
      <c r="D5" s="11">
        <v>19</v>
      </c>
      <c r="E5">
        <f>SUMIF(Tabela2[Mercadoria],Tabela4[[#This Row],[Produto]],Tabela2[Quantidade])</f>
        <v>0</v>
      </c>
      <c r="F5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5">
        <f>SUM(Tabela4[[#This Row],[Quantidade Inicial]:[Quantidade Comprada]])-Tabela4[[#This Row],[Quantidade Vendida]]</f>
        <v>19</v>
      </c>
      <c r="H5" t="str">
        <f>IF(Tabela4[[#This Row],[Quantidade Atual]]&lt;50,IF(Tabela4[[#This Row],[Quantidade Atual]]&lt;21,"Comprar","Atenção"),"Ok")</f>
        <v>Comprar</v>
      </c>
    </row>
    <row r="6" spans="2:8" x14ac:dyDescent="0.3">
      <c r="B6" t="s">
        <v>29</v>
      </c>
      <c r="C6" s="12" t="str">
        <f>IFERROR(INDEX(Tabela2[[Data]:[Mercadoria]],MATCH(Tabela4[[#This Row],[Produto]],Tabela2[Mercadoria],0),1),"")</f>
        <v/>
      </c>
      <c r="D6" s="11">
        <v>10</v>
      </c>
      <c r="E6">
        <f>SUMIF(Tabela2[Mercadoria],Tabela4[[#This Row],[Produto]],Tabela2[Quantidade])</f>
        <v>0</v>
      </c>
      <c r="F6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6">
        <f>SUM(Tabela4[[#This Row],[Quantidade Inicial]:[Quantidade Comprada]])-Tabela4[[#This Row],[Quantidade Vendida]]</f>
        <v>10</v>
      </c>
      <c r="H6" s="11" t="str">
        <f>IF(Tabela4[[#This Row],[Quantidade Atual]]&lt;50,IF(Tabela4[[#This Row],[Quantidade Atual]]&lt;21,"Comprar","Atenção"),"Ok")</f>
        <v>Comprar</v>
      </c>
    </row>
    <row r="7" spans="2:8" x14ac:dyDescent="0.3">
      <c r="B7" t="s">
        <v>17</v>
      </c>
      <c r="C7" s="12" t="str">
        <f>IFERROR(INDEX(Tabela2[[Data]:[Mercadoria]],MATCH(Tabela4[[#This Row],[Produto]],Tabela2[Mercadoria],0),1),"")</f>
        <v/>
      </c>
      <c r="D7" s="11">
        <v>0</v>
      </c>
      <c r="E7">
        <f>SUMIF(Tabela2[Mercadoria],Tabela4[[#This Row],[Produto]],Tabela2[Quantidade])</f>
        <v>0</v>
      </c>
      <c r="F7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7">
        <f>SUM(Tabela4[[#This Row],[Quantidade Inicial]:[Quantidade Comprada]])-Tabela4[[#This Row],[Quantidade Vendida]]</f>
        <v>0</v>
      </c>
      <c r="H7" s="11" t="str">
        <f>IF(Tabela4[[#This Row],[Quantidade Atual]]&lt;50,IF(Tabela4[[#This Row],[Quantidade Atual]]&lt;21,"Comprar","Atenção"),"Ok")</f>
        <v>Comprar</v>
      </c>
    </row>
    <row r="8" spans="2:8" x14ac:dyDescent="0.3">
      <c r="B8" t="s">
        <v>34</v>
      </c>
      <c r="C8" s="12" t="str">
        <f>IFERROR(INDEX(Tabela2[[Data]:[Mercadoria]],MATCH(Tabela4[[#This Row],[Produto]],Tabela2[Mercadoria],0),1),"")</f>
        <v/>
      </c>
      <c r="D8" s="11">
        <v>0</v>
      </c>
      <c r="E8">
        <f>SUMIF(Tabela2[Mercadoria],Tabela4[[#This Row],[Produto]],Tabela2[Quantidade])</f>
        <v>0</v>
      </c>
      <c r="F8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8">
        <f>SUM(Tabela4[[#This Row],[Quantidade Inicial]:[Quantidade Comprada]])-Tabela4[[#This Row],[Quantidade Vendida]]</f>
        <v>0</v>
      </c>
      <c r="H8" s="11" t="str">
        <f>IF(Tabela4[[#This Row],[Quantidade Atual]]&lt;50,IF(Tabela4[[#This Row],[Quantidade Atual]]&lt;21,"Comprar","Atenção"),"Ok")</f>
        <v>Comprar</v>
      </c>
    </row>
    <row r="9" spans="2:8" x14ac:dyDescent="0.3">
      <c r="B9" t="s">
        <v>37</v>
      </c>
      <c r="C9" s="12" t="str">
        <f>IFERROR(INDEX(Tabela2[[Data]:[Mercadoria]],MATCH(Tabela4[[#This Row],[Produto]],Tabela2[Mercadoria],0),1),"")</f>
        <v/>
      </c>
      <c r="D9" s="11">
        <v>150</v>
      </c>
      <c r="E9">
        <f>SUMIF(Tabela2[Mercadoria],Tabela4[[#This Row],[Produto]],Tabela2[Quantidade])</f>
        <v>0</v>
      </c>
      <c r="F9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9">
        <f>SUM(Tabela4[[#This Row],[Quantidade Inicial]:[Quantidade Comprada]])-Tabela4[[#This Row],[Quantidade Vendida]]</f>
        <v>150</v>
      </c>
      <c r="H9" s="11" t="str">
        <f>IF(Tabela4[[#This Row],[Quantidade Atual]]&lt;50,IF(Tabela4[[#This Row],[Quantidade Atual]]&lt;21,"Comprar","Atenção"),"Ok")</f>
        <v>Ok</v>
      </c>
    </row>
    <row r="10" spans="2:8" x14ac:dyDescent="0.3">
      <c r="B10" t="s">
        <v>33</v>
      </c>
      <c r="C10" s="12" t="str">
        <f>IFERROR(INDEX(Tabela2[[Data]:[Mercadoria]],MATCH(Tabela4[[#This Row],[Produto]],Tabela2[Mercadoria],0),1),"")</f>
        <v/>
      </c>
      <c r="D10" s="11">
        <v>15</v>
      </c>
      <c r="E10">
        <f>SUMIF(Tabela2[Mercadoria],Tabela4[[#This Row],[Produto]],Tabela2[Quantidade])</f>
        <v>0</v>
      </c>
      <c r="F10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0">
        <f>SUM(Tabela4[[#This Row],[Quantidade Inicial]:[Quantidade Comprada]])-Tabela4[[#This Row],[Quantidade Vendida]]</f>
        <v>15</v>
      </c>
      <c r="H10" s="11" t="str">
        <f>IF(Tabela4[[#This Row],[Quantidade Atual]]&lt;50,IF(Tabela4[[#This Row],[Quantidade Atual]]&lt;21,"Comprar","Atenção"),"Ok")</f>
        <v>Comprar</v>
      </c>
    </row>
    <row r="11" spans="2:8" x14ac:dyDescent="0.3">
      <c r="B11" t="s">
        <v>21</v>
      </c>
      <c r="C11" s="12" t="str">
        <f>IFERROR(INDEX(Tabela2[[Data]:[Mercadoria]],MATCH(Tabela4[[#This Row],[Produto]],Tabela2[Mercadoria],0),1),"")</f>
        <v/>
      </c>
      <c r="D11" s="11">
        <v>25</v>
      </c>
      <c r="E11">
        <f>SUMIF(Tabela2[Mercadoria],Tabela4[[#This Row],[Produto]],Tabela2[Quantidade])</f>
        <v>0</v>
      </c>
      <c r="F11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1">
        <f>SUM(Tabela4[[#This Row],[Quantidade Inicial]:[Quantidade Comprada]])-Tabela4[[#This Row],[Quantidade Vendida]]</f>
        <v>25</v>
      </c>
      <c r="H11" s="11" t="str">
        <f>IF(Tabela4[[#This Row],[Quantidade Atual]]&lt;50,IF(Tabela4[[#This Row],[Quantidade Atual]]&lt;21,"Comprar","Atenção"),"Ok")</f>
        <v>Atenção</v>
      </c>
    </row>
    <row r="12" spans="2:8" x14ac:dyDescent="0.3">
      <c r="B12" t="s">
        <v>27</v>
      </c>
      <c r="C12" s="12" t="str">
        <f>IFERROR(INDEX(Tabela2[[Data]:[Mercadoria]],MATCH(Tabela4[[#This Row],[Produto]],Tabela2[Mercadoria],0),1),"")</f>
        <v/>
      </c>
      <c r="D12" s="11">
        <v>0</v>
      </c>
      <c r="E12">
        <f>SUMIF(Tabela2[Mercadoria],Tabela4[[#This Row],[Produto]],Tabela2[Quantidade])</f>
        <v>0</v>
      </c>
      <c r="F12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2">
        <f>SUM(Tabela4[[#This Row],[Quantidade Inicial]:[Quantidade Comprada]])-Tabela4[[#This Row],[Quantidade Vendida]]</f>
        <v>0</v>
      </c>
      <c r="H12" s="11" t="str">
        <f>IF(Tabela4[[#This Row],[Quantidade Atual]]&lt;50,IF(Tabela4[[#This Row],[Quantidade Atual]]&lt;21,"Comprar","Atenção"),"Ok")</f>
        <v>Comprar</v>
      </c>
    </row>
    <row r="13" spans="2:8" x14ac:dyDescent="0.3">
      <c r="B13" t="s">
        <v>30</v>
      </c>
      <c r="C13" s="12" t="str">
        <f>IFERROR(INDEX(Tabela2[[Data]:[Mercadoria]],MATCH(Tabela4[[#This Row],[Produto]],Tabela2[Mercadoria],0),1),"")</f>
        <v/>
      </c>
      <c r="D13" s="11">
        <v>0</v>
      </c>
      <c r="E13">
        <f>SUMIF(Tabela2[Mercadoria],Tabela4[[#This Row],[Produto]],Tabela2[Quantidade])</f>
        <v>0</v>
      </c>
      <c r="F13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3">
        <f>SUM(Tabela4[[#This Row],[Quantidade Inicial]:[Quantidade Comprada]])-Tabela4[[#This Row],[Quantidade Vendida]]</f>
        <v>0</v>
      </c>
      <c r="H13" s="11" t="str">
        <f>IF(Tabela4[[#This Row],[Quantidade Atual]]&lt;50,IF(Tabela4[[#This Row],[Quantidade Atual]]&lt;21,"Comprar","Atenção"),"Ok")</f>
        <v>Comprar</v>
      </c>
    </row>
    <row r="14" spans="2:8" x14ac:dyDescent="0.3">
      <c r="B14" t="s">
        <v>35</v>
      </c>
      <c r="C14" s="12" t="str">
        <f>IFERROR(INDEX(Tabela2[[Data]:[Mercadoria]],MATCH(Tabela4[[#This Row],[Produto]],Tabela2[Mercadoria],0),1),"")</f>
        <v/>
      </c>
      <c r="D14" s="11">
        <v>30</v>
      </c>
      <c r="E14">
        <f>SUMIF(Tabela2[Mercadoria],Tabela4[[#This Row],[Produto]],Tabela2[Quantidade])</f>
        <v>0</v>
      </c>
      <c r="F14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4">
        <f>SUM(Tabela4[[#This Row],[Quantidade Inicial]:[Quantidade Comprada]])-Tabela4[[#This Row],[Quantidade Vendida]]</f>
        <v>30</v>
      </c>
      <c r="H14" s="11" t="str">
        <f>IF(Tabela4[[#This Row],[Quantidade Atual]]&lt;50,IF(Tabela4[[#This Row],[Quantidade Atual]]&lt;21,"Comprar","Atenção"),"Ok")</f>
        <v>Atenção</v>
      </c>
    </row>
    <row r="15" spans="2:8" x14ac:dyDescent="0.3">
      <c r="B15" t="s">
        <v>36</v>
      </c>
      <c r="C15" s="12" t="str">
        <f>IFERROR(INDEX(Tabela2[[Data]:[Mercadoria]],MATCH(Tabela4[[#This Row],[Produto]],Tabela2[Mercadoria],0),1),"")</f>
        <v/>
      </c>
      <c r="D15" s="11">
        <v>0</v>
      </c>
      <c r="E15">
        <f>SUMIF(Tabela2[Mercadoria],Tabela4[[#This Row],[Produto]],Tabela2[Quantidade])</f>
        <v>0</v>
      </c>
      <c r="F15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5">
        <f>SUM(Tabela4[[#This Row],[Quantidade Inicial]:[Quantidade Comprada]])-Tabela4[[#This Row],[Quantidade Vendida]]</f>
        <v>0</v>
      </c>
      <c r="H15" s="11" t="str">
        <f>IF(Tabela4[[#This Row],[Quantidade Atual]]&lt;50,IF(Tabela4[[#This Row],[Quantidade Atual]]&lt;21,"Comprar","Atenção"),"Ok")</f>
        <v>Comprar</v>
      </c>
    </row>
    <row r="16" spans="2:8" x14ac:dyDescent="0.3">
      <c r="B16" t="s">
        <v>32</v>
      </c>
      <c r="C16" s="12" t="str">
        <f>IFERROR(INDEX(Tabela2[[Data]:[Mercadoria]],MATCH(Tabela4[[#This Row],[Produto]],Tabela2[Mercadoria],0),1),"")</f>
        <v/>
      </c>
      <c r="D16" s="11">
        <v>0</v>
      </c>
      <c r="E16">
        <f>SUMIF(Tabela2[Mercadoria],Tabela4[[#This Row],[Produto]],Tabela2[Quantidade])</f>
        <v>0</v>
      </c>
      <c r="F16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6">
        <f>SUM(Tabela4[[#This Row],[Quantidade Inicial]:[Quantidade Comprada]])-Tabela4[[#This Row],[Quantidade Vendida]]</f>
        <v>0</v>
      </c>
      <c r="H16" s="11" t="str">
        <f>IF(Tabela4[[#This Row],[Quantidade Atual]]&lt;50,IF(Tabela4[[#This Row],[Quantidade Atual]]&lt;21,"Comprar","Atenção"),"Ok")</f>
        <v>Comprar</v>
      </c>
    </row>
    <row r="17" spans="2:8" x14ac:dyDescent="0.3">
      <c r="B17" t="s">
        <v>18</v>
      </c>
      <c r="C17" s="12" t="str">
        <f>IFERROR(INDEX(Tabela2[[Data]:[Mercadoria]],MATCH(Tabela4[[#This Row],[Produto]],Tabela2[Mercadoria],0),1),"")</f>
        <v/>
      </c>
      <c r="D17" s="11">
        <v>0</v>
      </c>
      <c r="E17">
        <f>SUMIF(Tabela2[Mercadoria],Tabela4[[#This Row],[Produto]],Tabela2[Quantidade])</f>
        <v>0</v>
      </c>
      <c r="F17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7">
        <f>SUM(Tabela4[[#This Row],[Quantidade Inicial]:[Quantidade Comprada]])-Tabela4[[#This Row],[Quantidade Vendida]]</f>
        <v>0</v>
      </c>
      <c r="H17" s="11" t="str">
        <f>IF(Tabela4[[#This Row],[Quantidade Atual]]&lt;50,IF(Tabela4[[#This Row],[Quantidade Atual]]&lt;21,"Comprar","Atenção"),"Ok")</f>
        <v>Comprar</v>
      </c>
    </row>
    <row r="18" spans="2:8" x14ac:dyDescent="0.3">
      <c r="B18" t="s">
        <v>22</v>
      </c>
      <c r="C18" s="12" t="str">
        <f>IFERROR(INDEX(Tabela2[[Data]:[Mercadoria]],MATCH(Tabela4[[#This Row],[Produto]],Tabela2[Mercadoria],0),1),"")</f>
        <v/>
      </c>
      <c r="D18" s="11">
        <v>0</v>
      </c>
      <c r="E18">
        <f>SUMIF(Tabela2[Mercadoria],Tabela4[[#This Row],[Produto]],Tabela2[Quantidade])</f>
        <v>0</v>
      </c>
      <c r="F18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8">
        <f>SUM(Tabela4[[#This Row],[Quantidade Inicial]:[Quantidade Comprada]])-Tabela4[[#This Row],[Quantidade Vendida]]</f>
        <v>0</v>
      </c>
      <c r="H18" s="11" t="str">
        <f>IF(Tabela4[[#This Row],[Quantidade Atual]]&lt;50,IF(Tabela4[[#This Row],[Quantidade Atual]]&lt;21,"Comprar","Atenção"),"Ok")</f>
        <v>Comprar</v>
      </c>
    </row>
    <row r="19" spans="2:8" x14ac:dyDescent="0.3">
      <c r="B19" t="s">
        <v>76</v>
      </c>
      <c r="C19" s="12" t="str">
        <f>IFERROR(INDEX(Tabela2[[Data]:[Mercadoria]],MATCH(Tabela4[[#This Row],[Produto]],Tabela2[Mercadoria],0),1),"")</f>
        <v/>
      </c>
      <c r="D19" s="11">
        <v>39</v>
      </c>
      <c r="E19">
        <f>SUMIF(Tabela2[Mercadoria],Tabela4[[#This Row],[Produto]],Tabela2[Quantidade])</f>
        <v>0</v>
      </c>
      <c r="F19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19">
        <f>SUM(Tabela4[[#This Row],[Quantidade Inicial]:[Quantidade Comprada]])-Tabela4[[#This Row],[Quantidade Vendida]]</f>
        <v>39</v>
      </c>
      <c r="H19" s="11" t="str">
        <f>IF(Tabela4[[#This Row],[Quantidade Atual]]&lt;50,IF(Tabela4[[#This Row],[Quantidade Atual]]&lt;21,"Comprar","Atenção"),"Ok")</f>
        <v>Atenção</v>
      </c>
    </row>
    <row r="20" spans="2:8" x14ac:dyDescent="0.3">
      <c r="B20" t="s">
        <v>81</v>
      </c>
      <c r="C20" s="12" t="str">
        <f>IFERROR(INDEX(Tabela2[[Data]:[Mercadoria]],MATCH(Tabela4[[#This Row],[Produto]],Tabela2[Mercadoria],0),1),"")</f>
        <v/>
      </c>
      <c r="D20" s="11">
        <v>0</v>
      </c>
      <c r="E20">
        <f>SUMIF(Tabela2[Mercadoria],Tabela4[[#This Row],[Produto]],Tabela2[Quantidade])</f>
        <v>0</v>
      </c>
      <c r="F20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0">
        <f>SUM(Tabela4[[#This Row],[Quantidade Inicial]:[Quantidade Comprada]])-Tabela4[[#This Row],[Quantidade Vendida]]</f>
        <v>0</v>
      </c>
      <c r="H20" s="11" t="str">
        <f>IF(Tabela4[[#This Row],[Quantidade Atual]]&lt;50,IF(Tabela4[[#This Row],[Quantidade Atual]]&lt;21,"Comprar","Atenção"),"Ok")</f>
        <v>Comprar</v>
      </c>
    </row>
    <row r="21" spans="2:8" x14ac:dyDescent="0.3">
      <c r="B21" t="s">
        <v>23</v>
      </c>
      <c r="C21" s="12" t="str">
        <f>IFERROR(INDEX(Tabela2[[Data]:[Mercadoria]],MATCH(Tabela4[[#This Row],[Produto]],Tabela2[Mercadoria],0),1),"")</f>
        <v/>
      </c>
      <c r="D21" s="11">
        <v>0</v>
      </c>
      <c r="E21">
        <f>SUMIF(Tabela2[Mercadoria],Tabela4[[#This Row],[Produto]],Tabela2[Quantidade])</f>
        <v>0</v>
      </c>
      <c r="F21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1">
        <f>SUM(Tabela4[[#This Row],[Quantidade Inicial]:[Quantidade Comprada]])-Tabela4[[#This Row],[Quantidade Vendida]]</f>
        <v>0</v>
      </c>
      <c r="H21" s="11" t="str">
        <f>IF(Tabela4[[#This Row],[Quantidade Atual]]&lt;50,IF(Tabela4[[#This Row],[Quantidade Atual]]&lt;21,"Comprar","Atenção"),"Ok")</f>
        <v>Comprar</v>
      </c>
    </row>
    <row r="22" spans="2:8" x14ac:dyDescent="0.3">
      <c r="B22" t="s">
        <v>24</v>
      </c>
      <c r="C22" s="12" t="str">
        <f>IFERROR(INDEX(Tabela2[[Data]:[Mercadoria]],MATCH(Tabela4[[#This Row],[Produto]],Tabela2[Mercadoria],0),1),"")</f>
        <v/>
      </c>
      <c r="D22" s="11">
        <v>10</v>
      </c>
      <c r="E22">
        <f>SUMIF(Tabela2[Mercadoria],Tabela4[[#This Row],[Produto]],Tabela2[Quantidade])</f>
        <v>0</v>
      </c>
      <c r="F22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2">
        <f>SUM(Tabela4[[#This Row],[Quantidade Inicial]:[Quantidade Comprada]])-Tabela4[[#This Row],[Quantidade Vendida]]</f>
        <v>10</v>
      </c>
      <c r="H22" s="11" t="str">
        <f>IF(Tabela4[[#This Row],[Quantidade Atual]]&lt;50,IF(Tabela4[[#This Row],[Quantidade Atual]]&lt;21,"Comprar","Atenção"),"Ok")</f>
        <v>Comprar</v>
      </c>
    </row>
    <row r="23" spans="2:8" x14ac:dyDescent="0.3">
      <c r="B23" t="s">
        <v>82</v>
      </c>
      <c r="C23" s="12" t="str">
        <f>IFERROR(INDEX(Tabela2[[Data]:[Mercadoria]],MATCH(Tabela4[[#This Row],[Produto]],Tabela2[Mercadoria],0),1),"")</f>
        <v/>
      </c>
      <c r="D23" s="11">
        <v>100</v>
      </c>
      <c r="E23">
        <f>SUMIF(Tabela2[Mercadoria],Tabela4[[#This Row],[Produto]],Tabela2[Quantidade])</f>
        <v>0</v>
      </c>
      <c r="F23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3">
        <f>SUM(Tabela4[[#This Row],[Quantidade Inicial]:[Quantidade Comprada]])-Tabela4[[#This Row],[Quantidade Vendida]]</f>
        <v>100</v>
      </c>
      <c r="H23" s="11" t="str">
        <f>IF(Tabela4[[#This Row],[Quantidade Atual]]&lt;50,IF(Tabela4[[#This Row],[Quantidade Atual]]&lt;21,"Comprar","Atenção"),"Ok")</f>
        <v>Ok</v>
      </c>
    </row>
    <row r="24" spans="2:8" x14ac:dyDescent="0.3">
      <c r="B24" t="s">
        <v>26</v>
      </c>
      <c r="C24" s="12" t="str">
        <f>IFERROR(INDEX(Tabela2[[Data]:[Mercadoria]],MATCH(Tabela4[[#This Row],[Produto]],Tabela2[Mercadoria],0),1),"")</f>
        <v/>
      </c>
      <c r="D24" s="11">
        <v>0</v>
      </c>
      <c r="E24">
        <f>SUMIF(Tabela2[Mercadoria],Tabela4[[#This Row],[Produto]],Tabela2[Quantidade])</f>
        <v>0</v>
      </c>
      <c r="F24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4">
        <f>SUM(Tabela4[[#This Row],[Quantidade Inicial]:[Quantidade Comprada]])-Tabela4[[#This Row],[Quantidade Vendida]]</f>
        <v>0</v>
      </c>
      <c r="H24" s="11" t="str">
        <f>IF(Tabela4[[#This Row],[Quantidade Atual]]&lt;50,IF(Tabela4[[#This Row],[Quantidade Atual]]&lt;21,"Comprar","Atenção"),"Ok")</f>
        <v>Comprar</v>
      </c>
    </row>
    <row r="25" spans="2:8" x14ac:dyDescent="0.3">
      <c r="B25" t="s">
        <v>19</v>
      </c>
      <c r="C25" s="12" t="str">
        <f>IFERROR(INDEX(Tabela2[[Data]:[Mercadoria]],MATCH(Tabela4[[#This Row],[Produto]],Tabela2[Mercadoria],0),1),"")</f>
        <v/>
      </c>
      <c r="D25" s="11">
        <v>30</v>
      </c>
      <c r="E25">
        <f>SUMIF(Tabela2[Mercadoria],Tabela4[[#This Row],[Produto]],Tabela2[Quantidade])</f>
        <v>0</v>
      </c>
      <c r="F25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5">
        <f>SUM(Tabela4[[#This Row],[Quantidade Inicial]:[Quantidade Comprada]])-Tabela4[[#This Row],[Quantidade Vendida]]</f>
        <v>30</v>
      </c>
      <c r="H25" s="11" t="str">
        <f>IF(Tabela4[[#This Row],[Quantidade Atual]]&lt;50,IF(Tabela4[[#This Row],[Quantidade Atual]]&lt;21,"Comprar","Atenção"),"Ok")</f>
        <v>Atenção</v>
      </c>
    </row>
    <row r="26" spans="2:8" x14ac:dyDescent="0.3">
      <c r="B26" t="s">
        <v>28</v>
      </c>
      <c r="C26" s="12" t="str">
        <f>IFERROR(INDEX(Tabela2[[Data]:[Mercadoria]],MATCH(Tabela4[[#This Row],[Produto]],Tabela2[Mercadoria],0),1),"")</f>
        <v/>
      </c>
      <c r="D26" s="11">
        <v>50</v>
      </c>
      <c r="E26">
        <f>SUMIF(Tabela2[Mercadoria],Tabela4[[#This Row],[Produto]],Tabela2[Quantidade])</f>
        <v>0</v>
      </c>
      <c r="F26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6">
        <f>SUM(Tabela4[[#This Row],[Quantidade Inicial]:[Quantidade Comprada]])-Tabela4[[#This Row],[Quantidade Vendida]]</f>
        <v>50</v>
      </c>
      <c r="H26" s="11" t="str">
        <f>IF(Tabela4[[#This Row],[Quantidade Atual]]&lt;50,IF(Tabela4[[#This Row],[Quantidade Atual]]&lt;21,"Comprar","Atenção"),"Ok")</f>
        <v>Ok</v>
      </c>
    </row>
    <row r="27" spans="2:8" x14ac:dyDescent="0.3">
      <c r="B27" t="s">
        <v>25</v>
      </c>
      <c r="C27" s="12" t="str">
        <f>IFERROR(INDEX(Tabela2[[Data]:[Mercadoria]],MATCH(Tabela4[[#This Row],[Produto]],Tabela2[Mercadoria],0),1),"")</f>
        <v/>
      </c>
      <c r="D27" s="11">
        <v>0</v>
      </c>
      <c r="E27">
        <f>SUMIF(Tabela2[Mercadoria],Tabela4[[#This Row],[Produto]],Tabela2[Quantidade])</f>
        <v>0</v>
      </c>
      <c r="F27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7">
        <f>SUM(Tabela4[[#This Row],[Quantidade Inicial]:[Quantidade Comprada]])-Tabela4[[#This Row],[Quantidade Vendida]]</f>
        <v>0</v>
      </c>
      <c r="H27" s="11" t="str">
        <f>IF(Tabela4[[#This Row],[Quantidade Atual]]&lt;50,IF(Tabela4[[#This Row],[Quantidade Atual]]&lt;21,"Comprar","Atenção"),"Ok")</f>
        <v>Comprar</v>
      </c>
    </row>
    <row r="28" spans="2:8" x14ac:dyDescent="0.3">
      <c r="B28" t="s">
        <v>31</v>
      </c>
      <c r="C28" s="12" t="str">
        <f>IFERROR(INDEX(Tabela2[[Data]:[Mercadoria]],MATCH(Tabela4[[#This Row],[Produto]],Tabela2[Mercadoria],0),1),"")</f>
        <v/>
      </c>
      <c r="D28" s="11">
        <v>20</v>
      </c>
      <c r="E28">
        <f>SUMIF(Tabela2[Mercadoria],Tabela4[[#This Row],[Produto]],Tabela2[Quantidade])</f>
        <v>0</v>
      </c>
      <c r="F28" s="13">
        <f>SUM(SUMIF(Tabela5[Produto],Tabela4[[#This Row],[Produto]],Tabela5[Quantidade]),SUMIF(Tabela511[Produto],Tabela4[[#This Row],[Produto]],Tabela511[Quantidade]),SUMIF(Tabela51112[Produto],Tabela4[[#This Row],[Produto]],Tabela51112[Quantidade]),SUMIF(Tabela511127[Produto],Tabela4[[#This Row],[Produto]],Tabela511127[Quantidade]),SUMIF(Tabela511128[Produto],Tabela4[[#This Row],[Produto]],Tabela511128[Quantidade]))</f>
        <v>0</v>
      </c>
      <c r="G28">
        <f>SUM(Tabela4[[#This Row],[Quantidade Inicial]:[Quantidade Comprada]])-Tabela4[[#This Row],[Quantidade Vendida]]</f>
        <v>20</v>
      </c>
      <c r="H28" s="11" t="str">
        <f>IF(Tabela4[[#This Row],[Quantidade Atual]]&lt;50,IF(Tabela4[[#This Row],[Quantidade Atual]]&lt;21,"Comprar","Atenção"),"Ok")</f>
        <v>Comprar</v>
      </c>
    </row>
  </sheetData>
  <conditionalFormatting sqref="H5:H28">
    <cfRule type="containsText" dxfId="9" priority="1" operator="containsText" text="Comprar">
      <formula>NOT(ISERROR(SEARCH("Comprar",H5)))</formula>
    </cfRule>
    <cfRule type="containsText" dxfId="8" priority="2" operator="containsText" text="Atenção">
      <formula>NOT(ISERROR(SEARCH("Atenção",H5)))</formula>
    </cfRule>
    <cfRule type="containsText" dxfId="7" priority="3" operator="containsText" text="Ok">
      <formula>NOT(ISERROR(SEARCH("Ok",H5)))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B2:E10"/>
  <sheetViews>
    <sheetView showGridLines="0" workbookViewId="0"/>
  </sheetViews>
  <sheetFormatPr defaultRowHeight="14.4" x14ac:dyDescent="0.3"/>
  <cols>
    <col min="2" max="2" width="20.88671875" bestFit="1" customWidth="1"/>
    <col min="3" max="3" width="10.5546875" bestFit="1" customWidth="1"/>
    <col min="4" max="4" width="36.77734375" customWidth="1"/>
    <col min="5" max="5" width="15.5546875" bestFit="1" customWidth="1"/>
  </cols>
  <sheetData>
    <row r="2" spans="2:5" s="31" customFormat="1" ht="28.05" customHeight="1" x14ac:dyDescent="0.3">
      <c r="B2" s="34" t="s">
        <v>7</v>
      </c>
    </row>
    <row r="3" spans="2:5" ht="24.6" customHeight="1" x14ac:dyDescent="0.3"/>
    <row r="4" spans="2:5" x14ac:dyDescent="0.3">
      <c r="B4" t="s">
        <v>7</v>
      </c>
      <c r="C4" t="s">
        <v>41</v>
      </c>
      <c r="D4" t="s">
        <v>87</v>
      </c>
      <c r="E4" t="s">
        <v>88</v>
      </c>
    </row>
    <row r="5" spans="2:5" ht="28.8" customHeight="1" x14ac:dyDescent="0.3">
      <c r="B5" t="s">
        <v>89</v>
      </c>
      <c r="C5" s="5">
        <v>43590</v>
      </c>
      <c r="D5" s="10" t="s">
        <v>92</v>
      </c>
      <c r="E5" s="2"/>
    </row>
    <row r="6" spans="2:5" ht="28.8" customHeight="1" x14ac:dyDescent="0.3">
      <c r="B6" t="s">
        <v>11</v>
      </c>
      <c r="C6" s="5"/>
      <c r="D6" s="10"/>
      <c r="E6" s="2">
        <v>0</v>
      </c>
    </row>
    <row r="7" spans="2:5" ht="28.8" customHeight="1" x14ac:dyDescent="0.3">
      <c r="B7" t="s">
        <v>90</v>
      </c>
      <c r="C7" s="5"/>
      <c r="D7" s="10"/>
      <c r="E7" s="2">
        <v>0</v>
      </c>
    </row>
    <row r="8" spans="2:5" ht="28.8" customHeight="1" x14ac:dyDescent="0.3">
      <c r="B8" t="s">
        <v>91</v>
      </c>
      <c r="C8" s="5"/>
      <c r="D8" s="10"/>
      <c r="E8" s="2">
        <v>0</v>
      </c>
    </row>
    <row r="9" spans="2:5" ht="28.8" customHeight="1" x14ac:dyDescent="0.3">
      <c r="B9" t="s">
        <v>5</v>
      </c>
      <c r="C9" s="5"/>
      <c r="D9" s="10"/>
      <c r="E9" s="2">
        <v>0</v>
      </c>
    </row>
    <row r="10" spans="2:5" x14ac:dyDescent="0.3">
      <c r="B10" t="s">
        <v>53</v>
      </c>
      <c r="D10" s="10"/>
      <c r="E10" s="3">
        <f>SUBTOTAL(109,Tabela3[Valor])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1:E26"/>
  <sheetViews>
    <sheetView showGridLines="0" workbookViewId="0">
      <selection activeCell="E4" sqref="E4"/>
    </sheetView>
  </sheetViews>
  <sheetFormatPr defaultRowHeight="14.4" x14ac:dyDescent="0.3"/>
  <cols>
    <col min="2" max="2" width="24.21875" bestFit="1" customWidth="1"/>
    <col min="3" max="5" width="34.33203125" customWidth="1"/>
  </cols>
  <sheetData>
    <row r="1" spans="2:5" s="11" customFormat="1" x14ac:dyDescent="0.3"/>
    <row r="2" spans="2:5" s="31" customFormat="1" ht="28.05" customHeight="1" x14ac:dyDescent="0.3">
      <c r="B2" s="34" t="s">
        <v>133</v>
      </c>
    </row>
    <row r="3" spans="2:5" s="11" customFormat="1" ht="24.6" customHeight="1" x14ac:dyDescent="0.3"/>
    <row r="4" spans="2:5" x14ac:dyDescent="0.3">
      <c r="C4" s="20" t="s">
        <v>118</v>
      </c>
      <c r="D4" s="20"/>
      <c r="E4" s="21">
        <f>SUM(E5:E6)</f>
        <v>0</v>
      </c>
    </row>
    <row r="5" spans="2:5" x14ac:dyDescent="0.3">
      <c r="C5" s="6"/>
      <c r="D5" s="22" t="s">
        <v>127</v>
      </c>
      <c r="E5" s="23">
        <f>Vendas!D14-Resultados!E6</f>
        <v>0</v>
      </c>
    </row>
    <row r="6" spans="2:5" x14ac:dyDescent="0.3">
      <c r="C6" s="6"/>
      <c r="D6" s="6" t="s">
        <v>128</v>
      </c>
      <c r="E6" s="19">
        <f>Vendas!D28</f>
        <v>0</v>
      </c>
    </row>
    <row r="7" spans="2:5" s="11" customFormat="1" x14ac:dyDescent="0.3">
      <c r="C7" s="6"/>
      <c r="D7" s="6"/>
      <c r="E7" s="19"/>
    </row>
    <row r="8" spans="2:5" x14ac:dyDescent="0.3">
      <c r="C8" s="6" t="s">
        <v>119</v>
      </c>
      <c r="D8" s="6"/>
      <c r="E8" s="19">
        <f>0.15*E4</f>
        <v>0</v>
      </c>
    </row>
    <row r="9" spans="2:5" ht="15" thickBot="1" x14ac:dyDescent="0.35">
      <c r="C9" s="24" t="s">
        <v>6</v>
      </c>
      <c r="D9" s="24"/>
      <c r="E9" s="25">
        <f>E4-E8</f>
        <v>0</v>
      </c>
    </row>
    <row r="10" spans="2:5" ht="15" thickTop="1" x14ac:dyDescent="0.3">
      <c r="C10" s="6"/>
      <c r="D10" s="6"/>
      <c r="E10" s="19"/>
    </row>
    <row r="11" spans="2:5" x14ac:dyDescent="0.3">
      <c r="C11" s="20" t="s">
        <v>120</v>
      </c>
      <c r="D11" s="20"/>
      <c r="E11" s="21">
        <f>SUM(E12:E13)</f>
        <v>0</v>
      </c>
    </row>
    <row r="12" spans="2:5" s="11" customFormat="1" x14ac:dyDescent="0.3">
      <c r="C12" s="6"/>
      <c r="D12" s="22" t="s">
        <v>129</v>
      </c>
      <c r="E12" s="23">
        <f>Tabela2[[#Totals],[Valor Pago]]</f>
        <v>0</v>
      </c>
    </row>
    <row r="13" spans="2:5" x14ac:dyDescent="0.3">
      <c r="C13" s="6"/>
      <c r="D13" s="6" t="s">
        <v>130</v>
      </c>
      <c r="E13" s="19">
        <f>Tabela1[[#Totals],[Valor Final]]</f>
        <v>0</v>
      </c>
    </row>
    <row r="14" spans="2:5" s="11" customFormat="1" ht="15" thickBot="1" x14ac:dyDescent="0.35">
      <c r="C14" s="24"/>
      <c r="D14" s="24"/>
      <c r="E14" s="25"/>
    </row>
    <row r="15" spans="2:5" ht="15.6" thickTop="1" thickBot="1" x14ac:dyDescent="0.35">
      <c r="C15" s="26" t="s">
        <v>121</v>
      </c>
      <c r="D15" s="26"/>
      <c r="E15" s="27">
        <f>E4-E11</f>
        <v>0</v>
      </c>
    </row>
    <row r="16" spans="2:5" ht="15" thickTop="1" x14ac:dyDescent="0.3">
      <c r="C16" s="6"/>
      <c r="D16" s="6"/>
      <c r="E16" s="19"/>
    </row>
    <row r="17" spans="3:5" x14ac:dyDescent="0.3">
      <c r="C17" s="6" t="s">
        <v>122</v>
      </c>
      <c r="D17" s="6"/>
      <c r="E17" s="19">
        <f>Tabela3[[#Totals],[Valor]]</f>
        <v>0</v>
      </c>
    </row>
    <row r="18" spans="3:5" x14ac:dyDescent="0.3">
      <c r="C18" s="6"/>
      <c r="D18" s="6"/>
      <c r="E18" s="19"/>
    </row>
    <row r="19" spans="3:5" x14ac:dyDescent="0.3">
      <c r="C19" s="6" t="s">
        <v>123</v>
      </c>
      <c r="D19" s="6"/>
      <c r="E19" s="19"/>
    </row>
    <row r="20" spans="3:5" x14ac:dyDescent="0.3">
      <c r="C20" s="6"/>
      <c r="D20" s="6"/>
      <c r="E20" s="19"/>
    </row>
    <row r="21" spans="3:5" ht="15" thickBot="1" x14ac:dyDescent="0.35">
      <c r="C21" s="28" t="s">
        <v>124</v>
      </c>
      <c r="D21" s="28"/>
      <c r="E21" s="29">
        <f>E15-E17-E19</f>
        <v>0</v>
      </c>
    </row>
    <row r="22" spans="3:5" ht="15" thickTop="1" x14ac:dyDescent="0.3">
      <c r="C22" s="6"/>
      <c r="D22" s="6"/>
      <c r="E22" s="19"/>
    </row>
    <row r="23" spans="3:5" x14ac:dyDescent="0.3">
      <c r="C23" s="6" t="s">
        <v>125</v>
      </c>
      <c r="D23" s="6"/>
      <c r="E23" s="19">
        <f>IF(E21&gt;1000,0.3*E21,0)</f>
        <v>0</v>
      </c>
    </row>
    <row r="24" spans="3:5" x14ac:dyDescent="0.3">
      <c r="C24" s="6"/>
      <c r="D24" s="6"/>
      <c r="E24" s="19"/>
    </row>
    <row r="25" spans="3:5" ht="15" thickBot="1" x14ac:dyDescent="0.35">
      <c r="C25" s="28" t="s">
        <v>126</v>
      </c>
      <c r="D25" s="28"/>
      <c r="E25" s="29">
        <f>E21-E23</f>
        <v>0</v>
      </c>
    </row>
    <row r="26" spans="3:5" ht="15" thickTop="1" x14ac:dyDescent="0.3"/>
  </sheetData>
  <conditionalFormatting sqref="E15 E21 E25">
    <cfRule type="cellIs" dxfId="6" priority="1" operator="greaterThan">
      <formula>0</formula>
    </cfRule>
    <cfRule type="cellIs" dxfId="5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B1:M50"/>
  <sheetViews>
    <sheetView showGridLines="0" topLeftCell="A31" zoomScaleNormal="100" workbookViewId="0">
      <selection activeCell="D55" sqref="D55"/>
    </sheetView>
  </sheetViews>
  <sheetFormatPr defaultRowHeight="14.4" x14ac:dyDescent="0.3"/>
  <cols>
    <col min="3" max="3" width="35.5546875" bestFit="1" customWidth="1"/>
    <col min="4" max="4" width="21.5546875" bestFit="1" customWidth="1"/>
    <col min="7" max="8" width="15.6640625" bestFit="1" customWidth="1"/>
    <col min="9" max="10" width="15.6640625" style="11" customWidth="1"/>
    <col min="13" max="13" width="17.6640625" bestFit="1" customWidth="1"/>
  </cols>
  <sheetData>
    <row r="1" spans="2:13" s="11" customFormat="1" x14ac:dyDescent="0.3"/>
    <row r="2" spans="2:13" s="31" customFormat="1" ht="28.05" customHeight="1" x14ac:dyDescent="0.3">
      <c r="B2" s="34" t="s">
        <v>131</v>
      </c>
    </row>
    <row r="3" spans="2:13" s="11" customFormat="1" ht="24.6" customHeight="1" x14ac:dyDescent="0.3">
      <c r="H3" s="15"/>
      <c r="I3" s="15"/>
      <c r="J3" s="15"/>
    </row>
    <row r="4" spans="2:13" ht="27" customHeight="1" thickBot="1" x14ac:dyDescent="0.35">
      <c r="M4" s="64" t="str">
        <f ca="1">PROPER(TEXT(MONTH(NOW()),"MMMM"))</f>
        <v>Janeiro</v>
      </c>
    </row>
    <row r="5" spans="2:13" ht="15.6" thickTop="1" thickBot="1" x14ac:dyDescent="0.35"/>
    <row r="6" spans="2:13" s="11" customFormat="1" ht="15" thickTop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2"/>
    </row>
    <row r="7" spans="2:13" x14ac:dyDescent="0.3">
      <c r="B7" s="43"/>
      <c r="C7" s="1"/>
      <c r="D7" s="1"/>
      <c r="E7" s="1"/>
      <c r="F7" s="1"/>
      <c r="G7" s="1"/>
      <c r="H7" s="1"/>
      <c r="I7" s="1"/>
      <c r="J7" s="1"/>
      <c r="K7" s="1"/>
      <c r="L7" s="1"/>
      <c r="M7" s="44"/>
    </row>
    <row r="8" spans="2:13" x14ac:dyDescent="0.3">
      <c r="B8" s="43"/>
      <c r="C8" s="1"/>
      <c r="D8" s="1"/>
      <c r="E8" s="1"/>
      <c r="F8" s="1"/>
      <c r="G8" s="1"/>
      <c r="H8" s="1"/>
      <c r="I8" s="1"/>
      <c r="J8" s="1"/>
      <c r="K8" s="1"/>
      <c r="L8" s="1"/>
      <c r="M8" s="44"/>
    </row>
    <row r="9" spans="2:13" ht="18" x14ac:dyDescent="0.35">
      <c r="B9" s="43"/>
      <c r="C9" s="52" t="s">
        <v>110</v>
      </c>
      <c r="D9" s="53">
        <f>Tabela5[[#Totals],[Total para o Cliente]]</f>
        <v>0</v>
      </c>
      <c r="E9" s="1"/>
      <c r="F9" s="1"/>
      <c r="G9" s="1"/>
      <c r="H9" s="1"/>
      <c r="I9" s="1"/>
      <c r="J9" s="1"/>
      <c r="K9" s="1"/>
      <c r="L9" s="1"/>
      <c r="M9" s="44"/>
    </row>
    <row r="10" spans="2:13" ht="18" x14ac:dyDescent="0.35">
      <c r="B10" s="43"/>
      <c r="C10" s="52" t="s">
        <v>111</v>
      </c>
      <c r="D10" s="53">
        <f>Tabela511[[#Totals],[Total para o Cliente]]</f>
        <v>0</v>
      </c>
      <c r="E10" s="1"/>
      <c r="F10" s="1"/>
      <c r="G10" s="1"/>
      <c r="H10" s="1"/>
      <c r="I10" s="1"/>
      <c r="J10" s="1"/>
      <c r="K10" s="1"/>
      <c r="L10" s="1"/>
      <c r="M10" s="44"/>
    </row>
    <row r="11" spans="2:13" ht="18" x14ac:dyDescent="0.35">
      <c r="B11" s="43"/>
      <c r="C11" s="52" t="s">
        <v>112</v>
      </c>
      <c r="D11" s="53">
        <f>Tabela51112[[#Totals],[Total para o Cliente]]</f>
        <v>0</v>
      </c>
      <c r="E11" s="1"/>
      <c r="F11" s="1"/>
      <c r="G11" s="1"/>
      <c r="H11" s="1"/>
      <c r="I11" s="1"/>
      <c r="J11" s="1"/>
      <c r="K11" s="1"/>
      <c r="L11" s="1"/>
      <c r="M11" s="44"/>
    </row>
    <row r="12" spans="2:13" ht="18" x14ac:dyDescent="0.35">
      <c r="B12" s="43"/>
      <c r="C12" s="52" t="s">
        <v>113</v>
      </c>
      <c r="D12" s="53">
        <f>Tabela511127[[#Totals],[Total para o Cliente]]</f>
        <v>0</v>
      </c>
      <c r="E12" s="1"/>
      <c r="F12" s="1"/>
      <c r="G12" s="1"/>
      <c r="H12" s="1"/>
      <c r="I12" s="1"/>
      <c r="J12" s="1"/>
      <c r="K12" s="1"/>
      <c r="L12" s="1"/>
      <c r="M12" s="44"/>
    </row>
    <row r="13" spans="2:13" ht="18.600000000000001" thickBot="1" x14ac:dyDescent="0.4">
      <c r="B13" s="43"/>
      <c r="C13" s="58" t="s">
        <v>114</v>
      </c>
      <c r="D13" s="61">
        <f>Tabela511128[[#Totals],[Total para o Cliente]]</f>
        <v>0</v>
      </c>
      <c r="E13" s="1"/>
      <c r="F13" s="1"/>
      <c r="G13" s="1"/>
      <c r="H13" s="1"/>
      <c r="I13" s="1"/>
      <c r="J13" s="1"/>
      <c r="K13" s="1"/>
      <c r="L13" s="1"/>
      <c r="M13" s="44"/>
    </row>
    <row r="14" spans="2:13" ht="19.2" thickTop="1" thickBot="1" x14ac:dyDescent="0.4">
      <c r="B14" s="43"/>
      <c r="C14" s="59" t="str">
        <f ca="1">"Total de Vendas de "&amp;M4</f>
        <v>Total de Vendas de Janeiro</v>
      </c>
      <c r="D14" s="60">
        <f>SUM(D9:D13)</f>
        <v>0</v>
      </c>
      <c r="E14" s="1"/>
      <c r="F14" s="1"/>
      <c r="G14" s="1"/>
      <c r="H14" s="1"/>
      <c r="I14" s="1"/>
      <c r="J14" s="1"/>
      <c r="K14" s="1"/>
      <c r="L14" s="1"/>
      <c r="M14" s="44"/>
    </row>
    <row r="15" spans="2:13" ht="18.600000000000001" thickTop="1" x14ac:dyDescent="0.35">
      <c r="B15" s="43"/>
      <c r="C15" s="50"/>
      <c r="D15" s="50"/>
      <c r="E15" s="1"/>
      <c r="F15" s="1"/>
      <c r="G15" s="1"/>
      <c r="H15" s="1"/>
      <c r="I15" s="1"/>
      <c r="J15" s="1"/>
      <c r="K15" s="1"/>
      <c r="L15" s="1"/>
      <c r="M15" s="44"/>
    </row>
    <row r="16" spans="2:13" ht="18" x14ac:dyDescent="0.35">
      <c r="B16" s="43"/>
      <c r="C16" s="50"/>
      <c r="D16" s="50"/>
      <c r="E16" s="1"/>
      <c r="F16" s="1"/>
      <c r="G16" s="1"/>
      <c r="H16" s="1"/>
      <c r="I16" s="1"/>
      <c r="J16" s="1"/>
      <c r="K16" s="1"/>
      <c r="L16" s="1"/>
      <c r="M16" s="44"/>
    </row>
    <row r="17" spans="2:13" x14ac:dyDescent="0.3">
      <c r="B17" s="43"/>
      <c r="E17" s="1"/>
      <c r="F17" s="1"/>
      <c r="G17" s="1"/>
      <c r="H17" s="1"/>
      <c r="I17" s="1"/>
      <c r="J17" s="1"/>
      <c r="K17" s="1"/>
      <c r="L17" s="1"/>
      <c r="M17" s="44"/>
    </row>
    <row r="18" spans="2:13" x14ac:dyDescent="0.3">
      <c r="B18" s="43"/>
      <c r="C18" s="1"/>
      <c r="D18" s="1"/>
      <c r="E18" s="1"/>
      <c r="F18" s="1"/>
      <c r="G18" s="1"/>
      <c r="H18" s="1"/>
      <c r="I18" s="1"/>
      <c r="J18" s="1"/>
      <c r="K18" s="1"/>
      <c r="L18" s="1"/>
      <c r="M18" s="44"/>
    </row>
    <row r="19" spans="2:13" x14ac:dyDescent="0.3">
      <c r="B19" s="43"/>
      <c r="C19" s="1"/>
      <c r="D19" s="1"/>
      <c r="E19" s="1"/>
      <c r="F19" s="1"/>
      <c r="G19" s="1"/>
      <c r="H19" s="1"/>
      <c r="I19" s="1"/>
      <c r="J19" s="1"/>
      <c r="K19" s="1"/>
      <c r="L19" s="1"/>
      <c r="M19" s="44"/>
    </row>
    <row r="20" spans="2:13" x14ac:dyDescent="0.3">
      <c r="B20" s="43"/>
      <c r="C20" s="1"/>
      <c r="D20" s="1"/>
      <c r="E20" s="1"/>
      <c r="F20" s="1"/>
      <c r="G20" s="1"/>
      <c r="H20" s="1"/>
      <c r="I20" s="1"/>
      <c r="J20" s="1"/>
      <c r="K20" s="1"/>
      <c r="L20" s="1"/>
      <c r="M20" s="44"/>
    </row>
    <row r="21" spans="2:13" ht="15" thickBot="1" x14ac:dyDescent="0.35">
      <c r="B21" s="45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7"/>
    </row>
    <row r="22" spans="2:13" ht="15" thickTop="1" x14ac:dyDescent="0.3"/>
    <row r="23" spans="2:13" ht="15" thickBot="1" x14ac:dyDescent="0.35">
      <c r="G23" s="15"/>
    </row>
    <row r="24" spans="2:13" ht="15" thickTop="1" x14ac:dyDescent="0.3">
      <c r="B24" s="40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2"/>
    </row>
    <row r="25" spans="2:13" x14ac:dyDescent="0.3">
      <c r="B25" s="43"/>
      <c r="C25" s="1"/>
      <c r="D25" s="1"/>
      <c r="E25" s="1"/>
      <c r="F25" s="1"/>
      <c r="G25" s="1"/>
      <c r="H25" s="1"/>
      <c r="I25" s="1"/>
      <c r="J25" s="1"/>
      <c r="K25" s="1"/>
      <c r="L25" s="1"/>
      <c r="M25" s="44"/>
    </row>
    <row r="26" spans="2:13" x14ac:dyDescent="0.3">
      <c r="B26" s="43"/>
      <c r="C26" s="1"/>
      <c r="D26" s="1"/>
      <c r="E26" s="1"/>
      <c r="F26" s="1"/>
      <c r="G26" s="1"/>
      <c r="H26" s="1"/>
      <c r="I26" s="1"/>
      <c r="J26" s="1"/>
      <c r="K26" s="1"/>
      <c r="L26" s="1"/>
      <c r="M26" s="44"/>
    </row>
    <row r="27" spans="2:13" ht="18" x14ac:dyDescent="0.35">
      <c r="B27" s="43"/>
      <c r="C27" s="52" t="s">
        <v>115</v>
      </c>
      <c r="D27" s="53">
        <f>SUM(SUMIF(Tabela5[Valor de Entrega],"&gt;0",Tabela5[Total para o Cliente]),SUMIF(Tabela511[Valor de Entrega],"&gt;0",Tabela511[Total para o Cliente]),SUMIF(Tabela51112[Valor de Entrega],"&gt;0",Tabela51112[Total para o Cliente]),SUMIF(Tabela511127[Valor de Entrega],"&gt;0",Tabela511127[Total para o Cliente]),SUMIF(Tabela511128[Valor de Entrega],"&gt;0",Tabela511128[Total para o Cliente]))</f>
        <v>0</v>
      </c>
      <c r="E27" s="1"/>
      <c r="F27" s="1"/>
      <c r="G27" s="1"/>
      <c r="H27" s="1"/>
      <c r="I27" s="1"/>
      <c r="J27" s="1"/>
      <c r="K27" s="1"/>
      <c r="L27" s="1"/>
      <c r="M27" s="44"/>
    </row>
    <row r="28" spans="2:13" ht="18.600000000000001" thickBot="1" x14ac:dyDescent="0.4">
      <c r="B28" s="43"/>
      <c r="C28" s="58" t="s">
        <v>116</v>
      </c>
      <c r="D28" s="61">
        <f>SUM(Tabela5[[#Totals],[Valor de Entrega]],Tabela511[[#Totals],[Valor de Entrega]],Tabela51112[[#Totals],[Valor de Entrega]],Tabela511127[[#Totals],[Valor de Entrega]],Tabela511128[[#Totals],[Valor de Entrega]])</f>
        <v>0</v>
      </c>
      <c r="E28" s="1"/>
      <c r="F28" s="1"/>
      <c r="G28" s="1"/>
      <c r="H28" s="1"/>
      <c r="I28" s="1"/>
      <c r="J28" s="1"/>
      <c r="K28" s="1"/>
      <c r="L28" s="1"/>
      <c r="M28" s="44"/>
    </row>
    <row r="29" spans="2:13" ht="19.2" thickTop="1" thickBot="1" x14ac:dyDescent="0.4">
      <c r="B29" s="43"/>
      <c r="C29" s="55" t="s">
        <v>108</v>
      </c>
      <c r="D29" s="55">
        <f>SUM(Tabela5[[#Totals],[Total para o Cliente]],Tabela511[[#Totals],[Total para o Cliente]],Tabela51112[[#Totals],[Total para o Cliente]],Tabela511127[[#Totals],[Total para o Cliente]],Tabela511128[[#Totals],[Total para o Cliente]])/SUM('Semana 1'!N10,'Semana 2'!N8,'Semana 3'!N8,'Semana 4'!N8,'Semana 5'!N8,)</f>
        <v>0</v>
      </c>
      <c r="E29" s="1"/>
      <c r="F29" s="1"/>
      <c r="G29" s="1"/>
      <c r="H29" s="1"/>
      <c r="I29" s="1"/>
      <c r="J29" s="1"/>
      <c r="K29" s="1"/>
      <c r="L29" s="1"/>
      <c r="M29" s="44"/>
    </row>
    <row r="30" spans="2:13" ht="15" thickTop="1" x14ac:dyDescent="0.3">
      <c r="B30" s="43"/>
      <c r="E30" s="1"/>
      <c r="F30" s="1"/>
      <c r="G30" s="1"/>
      <c r="H30" s="1"/>
      <c r="I30" s="1"/>
      <c r="J30" s="1"/>
      <c r="K30" s="1"/>
      <c r="L30" s="1"/>
      <c r="M30" s="44"/>
    </row>
    <row r="31" spans="2:13" ht="18" x14ac:dyDescent="0.35">
      <c r="B31" s="43"/>
      <c r="C31" s="50"/>
      <c r="D31" s="54"/>
      <c r="E31" s="1"/>
      <c r="F31" s="1"/>
      <c r="G31" s="1"/>
      <c r="H31" s="1"/>
      <c r="I31" s="1"/>
      <c r="J31" s="1"/>
      <c r="K31" s="1"/>
      <c r="L31" s="1"/>
      <c r="M31" s="44"/>
    </row>
    <row r="32" spans="2:13" ht="18" x14ac:dyDescent="0.35">
      <c r="B32" s="43"/>
      <c r="C32" s="50"/>
      <c r="D32" s="50"/>
      <c r="E32" s="1"/>
      <c r="F32" s="1"/>
      <c r="G32" s="1"/>
      <c r="H32" s="1"/>
      <c r="I32" s="1"/>
      <c r="J32" s="1"/>
      <c r="K32" s="1"/>
      <c r="L32" s="1"/>
      <c r="M32" s="44"/>
    </row>
    <row r="33" spans="2:13" x14ac:dyDescent="0.3">
      <c r="B33" s="43"/>
      <c r="E33" s="1"/>
      <c r="F33" s="1"/>
      <c r="G33" s="1"/>
      <c r="H33" s="1"/>
      <c r="I33" s="1"/>
      <c r="J33" s="1"/>
      <c r="K33" s="1"/>
      <c r="L33" s="1"/>
      <c r="M33" s="44"/>
    </row>
    <row r="34" spans="2:13" ht="18" x14ac:dyDescent="0.35">
      <c r="B34" s="43"/>
      <c r="C34" s="16"/>
      <c r="D34" s="16"/>
      <c r="E34" s="1"/>
      <c r="F34" s="1"/>
      <c r="G34" s="1"/>
      <c r="H34" s="1"/>
      <c r="I34" s="1"/>
      <c r="J34" s="1"/>
      <c r="K34" s="1"/>
      <c r="L34" s="1"/>
      <c r="M34" s="44"/>
    </row>
    <row r="35" spans="2:13" ht="18" x14ac:dyDescent="0.35">
      <c r="B35" s="43"/>
      <c r="C35" s="17"/>
      <c r="D35" s="18"/>
      <c r="E35" s="1"/>
      <c r="F35" s="1"/>
      <c r="G35" s="1"/>
      <c r="H35" s="1"/>
      <c r="I35" s="1"/>
      <c r="J35" s="1"/>
      <c r="K35" s="1"/>
      <c r="L35" s="1"/>
      <c r="M35" s="44"/>
    </row>
    <row r="36" spans="2:13" ht="15" thickBot="1" x14ac:dyDescent="0.35">
      <c r="B36" s="45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7"/>
    </row>
    <row r="37" spans="2:13" ht="15" thickTop="1" x14ac:dyDescent="0.3"/>
    <row r="38" spans="2:13" ht="15" thickBot="1" x14ac:dyDescent="0.35"/>
    <row r="39" spans="2:13" ht="15" thickTop="1" x14ac:dyDescent="0.3">
      <c r="B39" s="40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2"/>
    </row>
    <row r="40" spans="2:13" x14ac:dyDescent="0.3">
      <c r="B40" s="43"/>
      <c r="C40" s="1"/>
      <c r="D40" s="1"/>
      <c r="E40" s="1"/>
      <c r="F40" s="1"/>
      <c r="G40" s="1"/>
      <c r="H40" s="1"/>
      <c r="I40" s="1"/>
      <c r="J40" s="1"/>
      <c r="K40" s="1"/>
      <c r="L40" s="1"/>
      <c r="M40" s="44"/>
    </row>
    <row r="41" spans="2:13" ht="18.600000000000001" thickBot="1" x14ac:dyDescent="0.4">
      <c r="B41" s="43"/>
      <c r="C41" s="55" t="s">
        <v>109</v>
      </c>
      <c r="D41" s="56"/>
      <c r="E41" s="1"/>
      <c r="F41" s="1"/>
      <c r="G41" s="1"/>
      <c r="H41" s="1"/>
      <c r="I41" s="1"/>
      <c r="J41" s="1"/>
      <c r="K41" s="1"/>
      <c r="L41" s="1"/>
      <c r="M41" s="44"/>
    </row>
    <row r="42" spans="2:13" ht="18.600000000000001" thickTop="1" x14ac:dyDescent="0.35">
      <c r="B42" s="43"/>
      <c r="C42" s="52"/>
      <c r="D42" s="52" t="s">
        <v>117</v>
      </c>
      <c r="E42" s="51"/>
      <c r="F42" s="1"/>
      <c r="G42" s="1"/>
      <c r="H42" s="1"/>
      <c r="I42" s="1"/>
      <c r="J42" s="1"/>
      <c r="K42" s="1"/>
      <c r="L42" s="1"/>
      <c r="M42" s="44"/>
    </row>
    <row r="43" spans="2:13" ht="18" x14ac:dyDescent="0.35">
      <c r="B43" s="43"/>
      <c r="C43" s="52" t="s">
        <v>70</v>
      </c>
      <c r="D43" s="57">
        <f>SUM(COUNTIFS(Tabela5[Entrega],Vendas!C43,Tabela5[Total para o Cliente],"&gt;0"),COUNTIFS(Tabela511[Entrega],Vendas!C43,Tabela511[Total para o Cliente],"&gt;0"),COUNTIFS(Tabela51112[Entrega],Vendas!C43,Tabela51112[Total para o Cliente],"&gt;0"),COUNTIFS(Tabela511127[Entrega],Vendas!C43,Tabela511127[Total para o Cliente],"&gt;0"),COUNTIFS(Tabela511128[Entrega],Vendas!C43,Tabela511128[Total para o Cliente],"&gt;0"))</f>
        <v>0</v>
      </c>
      <c r="E43" s="51"/>
      <c r="F43" s="1"/>
      <c r="G43" s="1"/>
      <c r="H43" s="1"/>
      <c r="I43" s="1"/>
      <c r="J43" s="1"/>
      <c r="K43" s="1"/>
      <c r="L43" s="1"/>
      <c r="M43" s="44"/>
    </row>
    <row r="44" spans="2:13" ht="18" x14ac:dyDescent="0.35">
      <c r="B44" s="43"/>
      <c r="C44" s="52" t="s">
        <v>68</v>
      </c>
      <c r="D44" s="57">
        <f>SUM(COUNTIFS(Tabela5[Entrega],Vendas!C44,Tabela5[Total para o Cliente],"&gt;0"),COUNTIFS(Tabela511[Entrega],Vendas!C44,Tabela511[Total para o Cliente],"&gt;0"),COUNTIFS(Tabela51112[Entrega],Vendas!C44,Tabela51112[Total para o Cliente],"&gt;0"),COUNTIFS(Tabela511127[Entrega],Vendas!C44,Tabela511127[Total para o Cliente],"&gt;0"),COUNTIFS(Tabela511128[Entrega],Vendas!C44,Tabela511128[Total para o Cliente],"&gt;0"))</f>
        <v>0</v>
      </c>
      <c r="E44" s="51"/>
      <c r="F44" s="1"/>
      <c r="G44" s="1"/>
      <c r="H44" s="1"/>
      <c r="I44" s="1"/>
      <c r="J44" s="1"/>
      <c r="K44" s="1"/>
      <c r="L44" s="1"/>
      <c r="M44" s="44"/>
    </row>
    <row r="45" spans="2:13" ht="18" x14ac:dyDescent="0.35">
      <c r="B45" s="43"/>
      <c r="C45" s="52" t="s">
        <v>72</v>
      </c>
      <c r="D45" s="57">
        <f>SUM(COUNTIFS(Tabela5[Entrega],Vendas!C45,Tabela5[Total para o Cliente],"&gt;0"),COUNTIFS(Tabela511[Entrega],Vendas!C45,Tabela511[Total para o Cliente],"&gt;0"),COUNTIFS(Tabela51112[Entrega],Vendas!C45,Tabela51112[Total para o Cliente],"&gt;0"),COUNTIFS(Tabela511127[Entrega],Vendas!C45,Tabela511127[Total para o Cliente],"&gt;0"),COUNTIFS(Tabela511128[Entrega],Vendas!C45,Tabela511128[Total para o Cliente],"&gt;0"))</f>
        <v>0</v>
      </c>
      <c r="E45" s="51"/>
      <c r="F45" s="1"/>
      <c r="G45" s="1"/>
      <c r="H45" s="1"/>
      <c r="I45" s="1"/>
      <c r="J45" s="1"/>
      <c r="K45" s="1"/>
      <c r="L45" s="1"/>
      <c r="M45" s="44"/>
    </row>
    <row r="46" spans="2:13" ht="18" x14ac:dyDescent="0.35">
      <c r="B46" s="43"/>
      <c r="C46" s="52" t="s">
        <v>74</v>
      </c>
      <c r="D46" s="57">
        <f>SUM(COUNTIFS(Tabela5[Entrega],Vendas!C46,Tabela5[Total para o Cliente],"&gt;0"),COUNTIFS(Tabela511[Entrega],Vendas!C46,Tabela511[Total para o Cliente],"&gt;0"),COUNTIFS(Tabela51112[Entrega],Vendas!C46,Tabela51112[Total para o Cliente],"&gt;0"),COUNTIFS(Tabela511127[Entrega],Vendas!C46,Tabela511127[Total para o Cliente],"&gt;0"),COUNTIFS(Tabela511128[Entrega],Vendas!C46,Tabela511128[Total para o Cliente],"&gt;0"))</f>
        <v>0</v>
      </c>
      <c r="E46" s="51"/>
      <c r="F46" s="1"/>
      <c r="G46" s="1"/>
      <c r="H46" s="1"/>
      <c r="I46" s="1"/>
      <c r="J46" s="1"/>
      <c r="K46" s="1"/>
      <c r="L46" s="1"/>
      <c r="M46" s="44"/>
    </row>
    <row r="47" spans="2:13" ht="18" x14ac:dyDescent="0.35">
      <c r="B47" s="43"/>
      <c r="C47" s="52" t="s">
        <v>75</v>
      </c>
      <c r="D47" s="57">
        <f>SUM(COUNTIFS(Tabela5[Entrega],Vendas!C47,Tabela5[Total para o Cliente],"&gt;0"),COUNTIFS(Tabela511[Entrega],Vendas!C47,Tabela511[Total para o Cliente],"&gt;0"),COUNTIFS(Tabela51112[Entrega],Vendas!C47,Tabela51112[Total para o Cliente],"&gt;0"),COUNTIFS(Tabela511127[Entrega],Vendas!C47,Tabela511127[Total para o Cliente],"&gt;0"),COUNTIFS(Tabela511128[Entrega],Vendas!C47,Tabela511128[Total para o Cliente],"&gt;0"))</f>
        <v>0</v>
      </c>
      <c r="E47" s="51"/>
      <c r="F47" s="1"/>
      <c r="G47" s="1"/>
      <c r="H47" s="1"/>
      <c r="I47" s="1"/>
      <c r="J47" s="1"/>
      <c r="K47" s="1"/>
      <c r="L47" s="1"/>
      <c r="M47" s="44"/>
    </row>
    <row r="48" spans="2:13" ht="18" x14ac:dyDescent="0.35">
      <c r="B48" s="43"/>
      <c r="C48" s="16"/>
      <c r="D48" s="16"/>
      <c r="E48" s="1"/>
      <c r="F48" s="1"/>
      <c r="G48" s="1"/>
      <c r="H48" s="1"/>
      <c r="I48" s="1"/>
      <c r="J48" s="1"/>
      <c r="K48" s="1"/>
      <c r="L48" s="1"/>
      <c r="M48" s="44"/>
    </row>
    <row r="49" spans="2:13" ht="18.600000000000001" thickBot="1" x14ac:dyDescent="0.4">
      <c r="B49" s="45"/>
      <c r="C49" s="48"/>
      <c r="D49" s="49"/>
      <c r="E49" s="46"/>
      <c r="F49" s="46"/>
      <c r="G49" s="46"/>
      <c r="H49" s="46"/>
      <c r="I49" s="46"/>
      <c r="J49" s="46"/>
      <c r="K49" s="46"/>
      <c r="L49" s="46"/>
      <c r="M49" s="47"/>
    </row>
    <row r="50" spans="2:13" ht="15" thickTop="1" x14ac:dyDescent="0.3"/>
  </sheetData>
  <phoneticPr fontId="3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796B-B5EF-4497-966C-965E5805240B}">
  <sheetPr codeName="Planilha8"/>
  <dimension ref="A1:N18"/>
  <sheetViews>
    <sheetView showGridLines="0" topLeftCell="C1" workbookViewId="0">
      <selection activeCell="H8" sqref="H8"/>
    </sheetView>
  </sheetViews>
  <sheetFormatPr defaultRowHeight="14.4" x14ac:dyDescent="0.3"/>
  <cols>
    <col min="1" max="1" width="8.88671875" style="11"/>
    <col min="3" max="3" width="33.88671875" bestFit="1" customWidth="1"/>
    <col min="4" max="4" width="10.5546875" bestFit="1" customWidth="1"/>
    <col min="5" max="5" width="13.6640625" bestFit="1" customWidth="1"/>
    <col min="6" max="6" width="9.6640625" bestFit="1" customWidth="1"/>
    <col min="7" max="7" width="13.109375" bestFit="1" customWidth="1"/>
    <col min="8" max="8" width="15.33203125" bestFit="1" customWidth="1"/>
    <col min="9" max="9" width="10.33203125" bestFit="1" customWidth="1"/>
    <col min="10" max="10" width="11.109375" bestFit="1" customWidth="1"/>
    <col min="11" max="11" width="9.6640625" bestFit="1" customWidth="1"/>
    <col min="12" max="12" width="17.21875" bestFit="1" customWidth="1"/>
    <col min="13" max="13" width="9.33203125" bestFit="1" customWidth="1"/>
    <col min="14" max="14" width="19.6640625" bestFit="1" customWidth="1"/>
  </cols>
  <sheetData>
    <row r="1" spans="2:14" s="11" customFormat="1" x14ac:dyDescent="0.3"/>
    <row r="2" spans="2:14" s="31" customFormat="1" ht="28.05" customHeight="1" x14ac:dyDescent="0.3">
      <c r="B2" s="34"/>
      <c r="C2" s="34" t="s">
        <v>105</v>
      </c>
    </row>
    <row r="3" spans="2:14" s="11" customFormat="1" ht="24.6" customHeight="1" x14ac:dyDescent="0.3"/>
    <row r="4" spans="2:14" x14ac:dyDescent="0.3">
      <c r="C4" t="s">
        <v>100</v>
      </c>
      <c r="D4" t="s">
        <v>41</v>
      </c>
      <c r="E4" t="s">
        <v>94</v>
      </c>
      <c r="F4" t="s">
        <v>67</v>
      </c>
      <c r="G4" t="s">
        <v>61</v>
      </c>
      <c r="H4" t="s">
        <v>58</v>
      </c>
      <c r="I4" t="s">
        <v>101</v>
      </c>
      <c r="J4" t="s">
        <v>59</v>
      </c>
      <c r="K4" t="s">
        <v>102</v>
      </c>
      <c r="L4" t="s">
        <v>103</v>
      </c>
      <c r="M4" t="s">
        <v>53</v>
      </c>
      <c r="N4" t="s">
        <v>104</v>
      </c>
    </row>
    <row r="5" spans="2:14" s="11" customFormat="1" x14ac:dyDescent="0.3">
      <c r="C5" s="11">
        <v>2</v>
      </c>
      <c r="D5" s="12">
        <v>43863</v>
      </c>
      <c r="F5" s="13" t="str">
        <f>IFERROR(VLOOKUP(Tabela5[[#This Row],[Produto]],cálculos!$H$3:$K$26,4,0),"")</f>
        <v/>
      </c>
      <c r="H5" s="30" t="str">
        <f>IFERROR(VLOOKUP(Tabela5[[#This Row],[Produto]],cálculos!$H$3:$K$26,3,0),"")</f>
        <v/>
      </c>
      <c r="I5" s="2" t="str">
        <f>IFERROR(Tabela5[[#This Row],[Preço Unitário]]*Tabela5[[#This Row],[Quantidade]],"")</f>
        <v/>
      </c>
      <c r="J5" s="4"/>
      <c r="L5" s="30">
        <f>IFERROR(IF(AND(Tabela5[[#This Row],[Entrega]]=K6,Tabela5[[#This Row],[Id da Venda]]=C6),0,VLOOKUP(Tabela5[[#This Row],[Entrega]],cálculos!$A$3:$B$7,2,0)),0)</f>
        <v>0</v>
      </c>
      <c r="M5" s="3" t="str">
        <f>IFERROR(SUM(Tabela5[[#This Row],[Subtotal]]*(1-Tabela5[[#This Row],[Desconto]]),Tabela5[[#This Row],[Valor de Entrega]]),"")</f>
        <v/>
      </c>
      <c r="N5" s="14" t="str">
        <f>IFERROR(IF(Tabela5[[#This Row],[Id da Venda]]=C6,"",SUMIF(Tabela5[Id da Venda],Tabela5[[#This Row],[Id da Venda]],Tabela5[Total])),"")</f>
        <v/>
      </c>
    </row>
    <row r="6" spans="2:14" s="11" customFormat="1" x14ac:dyDescent="0.3">
      <c r="C6" s="11">
        <v>2</v>
      </c>
      <c r="D6" s="12">
        <v>43863</v>
      </c>
      <c r="F6" s="13" t="str">
        <f>IFERROR(VLOOKUP(Tabela5[[#This Row],[Produto]],cálculos!$H$3:$K$26,4,0),"")</f>
        <v/>
      </c>
      <c r="H6" s="30" t="str">
        <f>IFERROR(VLOOKUP(Tabela5[[#This Row],[Produto]],cálculos!$H$3:$K$26,3,0),"")</f>
        <v/>
      </c>
      <c r="I6" s="2" t="str">
        <f>IFERROR(Tabela5[[#This Row],[Preço Unitário]]*Tabela5[[#This Row],[Quantidade]],"")</f>
        <v/>
      </c>
      <c r="J6" s="4"/>
      <c r="L6" s="30">
        <f>IFERROR(IF(AND(Tabela5[[#This Row],[Entrega]]=K7,Tabela5[[#This Row],[Id da Venda]]=C7),0,VLOOKUP(Tabela5[[#This Row],[Entrega]],cálculos!$A$3:$B$7,2,0)),0)</f>
        <v>0</v>
      </c>
      <c r="M6" s="3" t="str">
        <f>IFERROR(SUM(Tabela5[[#This Row],[Subtotal]]*(1-Tabela5[[#This Row],[Desconto]]),Tabela5[[#This Row],[Valor de Entrega]]),"")</f>
        <v/>
      </c>
      <c r="N6" s="14">
        <f>IFERROR(IF(Tabela5[[#This Row],[Id da Venda]]=C7,"",SUMIF(Tabela5[Id da Venda],Tabela5[[#This Row],[Id da Venda]],Tabela5[Total])),"")</f>
        <v>0</v>
      </c>
    </row>
    <row r="7" spans="2:14" s="11" customFormat="1" x14ac:dyDescent="0.3">
      <c r="C7" s="11">
        <v>1</v>
      </c>
      <c r="D7" s="12">
        <v>43862</v>
      </c>
      <c r="F7" s="13" t="str">
        <f>IFERROR(VLOOKUP(Tabela5[[#This Row],[Produto]],cálculos!$H$3:$K$26,4,0),"")</f>
        <v/>
      </c>
      <c r="H7" s="30" t="str">
        <f>IFERROR(VLOOKUP(Tabela5[[#This Row],[Produto]],cálculos!$H$3:$K$26,3,0),"")</f>
        <v/>
      </c>
      <c r="I7" s="2" t="str">
        <f>IFERROR(Tabela5[[#This Row],[Preço Unitário]]*Tabela5[[#This Row],[Quantidade]],"")</f>
        <v/>
      </c>
      <c r="J7" s="4"/>
      <c r="L7" s="30">
        <f>IFERROR(IF(AND(Tabela5[[#This Row],[Entrega]]=K8,Tabela5[[#This Row],[Id da Venda]]=C8),0,VLOOKUP(Tabela5[[#This Row],[Entrega]],cálculos!$A$3:$B$7,2,0)),0)</f>
        <v>0</v>
      </c>
      <c r="M7" s="3" t="str">
        <f>IFERROR(SUM(Tabela5[[#This Row],[Subtotal]]*(1-Tabela5[[#This Row],[Desconto]]),Tabela5[[#This Row],[Valor de Entrega]]),"")</f>
        <v/>
      </c>
      <c r="N7" s="14">
        <f>IFERROR(IF(Tabela5[[#This Row],[Id da Venda]]=C8,"",SUMIF(Tabela5[Id da Venda],Tabela5[[#This Row],[Id da Venda]],Tabela5[Total])),"")</f>
        <v>0</v>
      </c>
    </row>
    <row r="8" spans="2:14" s="11" customFormat="1" x14ac:dyDescent="0.3">
      <c r="C8" s="11" t="s">
        <v>53</v>
      </c>
      <c r="H8" s="13"/>
      <c r="I8" s="13"/>
      <c r="J8" s="13"/>
      <c r="L8" s="3">
        <f>SUBTOTAL(109,Tabela5[Valor de Entrega])</f>
        <v>0</v>
      </c>
      <c r="M8"/>
      <c r="N8" s="14">
        <f>SUBTOTAL(109,Tabela5[Total para o Cliente])</f>
        <v>0</v>
      </c>
    </row>
    <row r="9" spans="2:14" s="11" customFormat="1" ht="15" thickBot="1" x14ac:dyDescent="0.35">
      <c r="C9"/>
      <c r="D9"/>
      <c r="E9"/>
      <c r="F9"/>
      <c r="G9"/>
      <c r="H9"/>
      <c r="I9"/>
      <c r="J9"/>
      <c r="K9"/>
      <c r="L9"/>
      <c r="M9"/>
      <c r="N9"/>
    </row>
    <row r="10" spans="2:14" s="11" customFormat="1" ht="19.2" thickTop="1" thickBot="1" x14ac:dyDescent="0.4">
      <c r="C10" s="62" t="s">
        <v>117</v>
      </c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2" cm="1">
        <f t="array" ref="N10">SUM(IF(FREQUENCY(Tabela5[Id da Venda],Tabela5[Id da Venda])&gt;0,1,0))</f>
        <v>2</v>
      </c>
    </row>
    <row r="11" spans="2:14" s="11" customFormat="1" ht="15" thickTop="1" x14ac:dyDescent="0.3">
      <c r="C11"/>
      <c r="D11"/>
      <c r="E11"/>
      <c r="F11"/>
      <c r="G11"/>
      <c r="H11"/>
      <c r="I11"/>
      <c r="J11"/>
      <c r="K11"/>
      <c r="L11"/>
      <c r="M11"/>
      <c r="N11"/>
    </row>
    <row r="12" spans="2:14" s="11" customFormat="1" x14ac:dyDescent="0.3">
      <c r="C12"/>
      <c r="D12"/>
      <c r="E12"/>
      <c r="F12"/>
      <c r="G12"/>
      <c r="H12"/>
      <c r="I12"/>
      <c r="J12"/>
      <c r="K12"/>
      <c r="L12"/>
      <c r="M12"/>
      <c r="N12"/>
    </row>
    <row r="13" spans="2:14" s="11" customFormat="1" x14ac:dyDescent="0.3">
      <c r="C13"/>
      <c r="D13"/>
      <c r="E13"/>
      <c r="F13"/>
      <c r="G13"/>
      <c r="H13"/>
      <c r="I13"/>
      <c r="J13"/>
      <c r="K13"/>
      <c r="L13"/>
      <c r="M13"/>
      <c r="N13"/>
    </row>
    <row r="14" spans="2:14" s="11" customFormat="1" x14ac:dyDescent="0.3">
      <c r="C14"/>
      <c r="D14"/>
      <c r="E14"/>
      <c r="F14"/>
      <c r="G14"/>
      <c r="H14"/>
      <c r="I14"/>
      <c r="J14"/>
      <c r="K14"/>
      <c r="L14"/>
      <c r="M14"/>
      <c r="N14"/>
    </row>
    <row r="15" spans="2:14" s="11" customFormat="1" x14ac:dyDescent="0.3">
      <c r="C15"/>
      <c r="D15"/>
      <c r="E15"/>
      <c r="F15"/>
      <c r="G15"/>
      <c r="H15"/>
      <c r="I15"/>
      <c r="J15"/>
      <c r="K15"/>
      <c r="L15"/>
      <c r="M15"/>
      <c r="N15"/>
    </row>
    <row r="16" spans="2:14" s="11" customFormat="1" x14ac:dyDescent="0.3">
      <c r="C16"/>
      <c r="D16"/>
      <c r="E16"/>
      <c r="F16"/>
      <c r="G16"/>
      <c r="H16"/>
      <c r="I16"/>
      <c r="J16"/>
      <c r="K16"/>
      <c r="L16"/>
      <c r="M16"/>
      <c r="N16"/>
    </row>
    <row r="17" spans="3:14" s="11" customFormat="1" x14ac:dyDescent="0.3">
      <c r="C17"/>
      <c r="D17"/>
      <c r="E17"/>
      <c r="F17"/>
      <c r="G17"/>
      <c r="H17"/>
      <c r="I17"/>
      <c r="J17"/>
      <c r="K17"/>
      <c r="L17"/>
      <c r="M17"/>
      <c r="N17"/>
    </row>
    <row r="18" spans="3:14" s="11" customFormat="1" x14ac:dyDescent="0.3">
      <c r="C18"/>
      <c r="D18"/>
      <c r="E18"/>
      <c r="F18"/>
      <c r="G18"/>
      <c r="H18"/>
      <c r="I18"/>
      <c r="J18"/>
      <c r="K18"/>
      <c r="L18"/>
      <c r="M18"/>
      <c r="N18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20F80D-8C4A-4A6E-BBCF-0522D6853FBD}">
          <x14:formula1>
            <xm:f>cálculos!$H$3:$H$26</xm:f>
          </x14:formula1>
          <xm:sqref>E5:E7</xm:sqref>
        </x14:dataValidation>
        <x14:dataValidation type="list" allowBlank="1" showInputMessage="1" showErrorMessage="1" xr:uid="{75B3F500-BB7C-4294-ABC4-3A2BE0456869}">
          <x14:formula1>
            <xm:f>cálculos!$A$3:$A$7</xm:f>
          </x14:formula1>
          <xm:sqref>K5:K7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DE4FF-C7A1-4376-9525-A47DE36E232A}">
  <sheetPr codeName="Planilha9"/>
  <dimension ref="B2:N9"/>
  <sheetViews>
    <sheetView showGridLines="0" workbookViewId="0">
      <selection activeCell="C4" sqref="C4:N6"/>
    </sheetView>
  </sheetViews>
  <sheetFormatPr defaultRowHeight="14.4" x14ac:dyDescent="0.3"/>
  <cols>
    <col min="1" max="2" width="8.88671875" style="11"/>
    <col min="3" max="3" width="33.88671875" style="11" bestFit="1" customWidth="1"/>
    <col min="4" max="4" width="10.5546875" style="11" bestFit="1" customWidth="1"/>
    <col min="5" max="5" width="10.109375" style="11" bestFit="1" customWidth="1"/>
    <col min="6" max="6" width="9.6640625" style="11" bestFit="1" customWidth="1"/>
    <col min="7" max="7" width="13.109375" style="11" bestFit="1" customWidth="1"/>
    <col min="8" max="8" width="15.33203125" style="11" bestFit="1" customWidth="1"/>
    <col min="9" max="9" width="10.33203125" style="11" bestFit="1" customWidth="1"/>
    <col min="10" max="10" width="11.109375" style="11" bestFit="1" customWidth="1"/>
    <col min="11" max="11" width="9.6640625" style="11" bestFit="1" customWidth="1"/>
    <col min="12" max="12" width="17.21875" style="11" bestFit="1" customWidth="1"/>
    <col min="13" max="13" width="7.44140625" style="11" bestFit="1" customWidth="1"/>
    <col min="14" max="14" width="19.6640625" style="11" bestFit="1" customWidth="1"/>
    <col min="15" max="16384" width="8.88671875" style="11"/>
  </cols>
  <sheetData>
    <row r="2" spans="2:14" s="31" customFormat="1" ht="28.05" customHeight="1" x14ac:dyDescent="0.3">
      <c r="B2" s="34"/>
      <c r="C2" s="34" t="s">
        <v>106</v>
      </c>
    </row>
    <row r="3" spans="2:14" ht="24.6" customHeight="1" x14ac:dyDescent="0.3"/>
    <row r="4" spans="2:14" x14ac:dyDescent="0.3">
      <c r="C4" s="11" t="s">
        <v>100</v>
      </c>
      <c r="D4" s="11" t="s">
        <v>41</v>
      </c>
      <c r="E4" s="11" t="s">
        <v>94</v>
      </c>
      <c r="F4" s="11" t="s">
        <v>67</v>
      </c>
      <c r="G4" s="11" t="s">
        <v>61</v>
      </c>
      <c r="H4" s="11" t="s">
        <v>58</v>
      </c>
      <c r="I4" s="11" t="s">
        <v>101</v>
      </c>
      <c r="J4" s="11" t="s">
        <v>59</v>
      </c>
      <c r="K4" s="11" t="s">
        <v>102</v>
      </c>
      <c r="L4" s="11" t="s">
        <v>103</v>
      </c>
      <c r="M4" s="11" t="s">
        <v>53</v>
      </c>
      <c r="N4" s="11" t="s">
        <v>104</v>
      </c>
    </row>
    <row r="5" spans="2:14" x14ac:dyDescent="0.3">
      <c r="C5" s="11">
        <v>1</v>
      </c>
      <c r="D5" s="12">
        <f t="shared" ref="D5" ca="1" si="0">TODAY()</f>
        <v>43863</v>
      </c>
      <c r="F5" s="13" t="str">
        <f>IFERROR(VLOOKUP(Tabela511[[#This Row],[Produto]],cálculos!$H$3:$K$26,4,0),"")</f>
        <v/>
      </c>
      <c r="H5" s="2" t="str">
        <f>IFERROR(VLOOKUP(Tabela511[[#This Row],[Produto]],cálculos!$H$3:$K$26,3,0),"")</f>
        <v/>
      </c>
      <c r="I5" s="2" t="str">
        <f>IFERROR(Tabela511[[#This Row],[Preço Unitário]]*Tabela511[[#This Row],[Quantidade]],"")</f>
        <v/>
      </c>
      <c r="J5" s="4"/>
      <c r="L5" s="2">
        <f>IFERROR(IF(AND(Tabela511[[#This Row],[Entrega]]=K6,Tabela511[[#This Row],[Id da Venda]]=C6),0,VLOOKUP(Tabela511[[#This Row],[Entrega]],cálculos!$A$3:$B$7,2,0)),0)</f>
        <v>0</v>
      </c>
      <c r="M5" s="3" t="str">
        <f>IFERROR(SUM(Tabela511[[#This Row],[Subtotal]]*(1-Tabela511[[#This Row],[Desconto]]),Tabela511[[#This Row],[Valor de Entrega]]),"")</f>
        <v/>
      </c>
      <c r="N5" s="14">
        <f>IFERROR(IF(Tabela511[[#This Row],[Id da Venda]]=C6,"",SUMIF(Tabela511[Id da Venda],Tabela511[[#This Row],[Id da Venda]],Tabela511[Total])),"")</f>
        <v>0</v>
      </c>
    </row>
    <row r="6" spans="2:14" x14ac:dyDescent="0.3">
      <c r="C6" s="11" t="s">
        <v>53</v>
      </c>
      <c r="H6" s="13"/>
      <c r="I6" s="13"/>
      <c r="J6" s="13"/>
      <c r="L6" s="3">
        <f>SUBTOTAL(109,Tabela511[Valor de Entrega])</f>
        <v>0</v>
      </c>
      <c r="N6" s="14">
        <f>SUBTOTAL(109,Tabela511[Total para o Cliente])</f>
        <v>0</v>
      </c>
    </row>
    <row r="7" spans="2:14" ht="15" thickBot="1" x14ac:dyDescent="0.35"/>
    <row r="8" spans="2:14" ht="19.2" thickTop="1" thickBot="1" x14ac:dyDescent="0.4">
      <c r="C8" s="62" t="s">
        <v>117</v>
      </c>
      <c r="D8" s="63"/>
      <c r="E8" s="63"/>
      <c r="F8" s="63"/>
      <c r="G8" s="63"/>
      <c r="H8" s="63"/>
      <c r="I8" s="63"/>
      <c r="J8" s="63"/>
      <c r="K8" s="63"/>
      <c r="L8" s="63"/>
      <c r="M8" s="63"/>
      <c r="N8" s="62" cm="1">
        <f t="array" ref="N8">SUM(IF(FREQUENCY(Tabela511[Id da Venda],Tabela511[Id da Venda])&gt;0,1,0))</f>
        <v>1</v>
      </c>
    </row>
    <row r="9" spans="2:14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0B7799-D38B-4179-9036-2C5D0E0A353C}">
          <x14:formula1>
            <xm:f>cálculos!$H$3:$H$26</xm:f>
          </x14:formula1>
          <xm:sqref>E5</xm:sqref>
        </x14:dataValidation>
        <x14:dataValidation type="list" allowBlank="1" showInputMessage="1" showErrorMessage="1" xr:uid="{955E7BA4-8CD0-4221-90D9-31BF55B397C3}">
          <x14:formula1>
            <xm:f>cálculos!$A$3:$A$7</xm:f>
          </x14:formula1>
          <xm:sqref>K5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BF83E-EFD0-4E87-AB73-B9FD9BEB8DAD}">
  <sheetPr codeName="Planilha10"/>
  <dimension ref="B2:N9"/>
  <sheetViews>
    <sheetView showGridLines="0" workbookViewId="0">
      <selection activeCell="C5" sqref="C5"/>
    </sheetView>
  </sheetViews>
  <sheetFormatPr defaultRowHeight="14.4" x14ac:dyDescent="0.3"/>
  <cols>
    <col min="1" max="2" width="8.88671875" style="11"/>
    <col min="3" max="3" width="33.88671875" style="11" bestFit="1" customWidth="1"/>
    <col min="4" max="4" width="10.5546875" style="11" bestFit="1" customWidth="1"/>
    <col min="5" max="5" width="10.109375" style="11" bestFit="1" customWidth="1"/>
    <col min="6" max="6" width="9.6640625" style="11" bestFit="1" customWidth="1"/>
    <col min="7" max="7" width="13.109375" style="11" bestFit="1" customWidth="1"/>
    <col min="8" max="8" width="15.33203125" style="11" bestFit="1" customWidth="1"/>
    <col min="9" max="9" width="10.33203125" style="11" bestFit="1" customWidth="1"/>
    <col min="10" max="10" width="11.109375" style="11" bestFit="1" customWidth="1"/>
    <col min="11" max="11" width="9.6640625" style="11" bestFit="1" customWidth="1"/>
    <col min="12" max="12" width="17.21875" style="11" bestFit="1" customWidth="1"/>
    <col min="13" max="13" width="7.44140625" style="11" bestFit="1" customWidth="1"/>
    <col min="14" max="14" width="19.6640625" style="11" bestFit="1" customWidth="1"/>
    <col min="15" max="16384" width="8.88671875" style="11"/>
  </cols>
  <sheetData>
    <row r="2" spans="2:14" s="31" customFormat="1" ht="28.05" customHeight="1" x14ac:dyDescent="0.3">
      <c r="B2" s="34"/>
      <c r="C2" s="34" t="s">
        <v>107</v>
      </c>
    </row>
    <row r="3" spans="2:14" ht="24.6" customHeight="1" x14ac:dyDescent="0.3"/>
    <row r="4" spans="2:14" x14ac:dyDescent="0.3">
      <c r="C4" s="11" t="s">
        <v>100</v>
      </c>
      <c r="D4" s="11" t="s">
        <v>41</v>
      </c>
      <c r="E4" s="11" t="s">
        <v>94</v>
      </c>
      <c r="F4" s="11" t="s">
        <v>67</v>
      </c>
      <c r="G4" s="11" t="s">
        <v>61</v>
      </c>
      <c r="H4" s="11" t="s">
        <v>58</v>
      </c>
      <c r="I4" s="11" t="s">
        <v>101</v>
      </c>
      <c r="J4" s="11" t="s">
        <v>59</v>
      </c>
      <c r="K4" s="11" t="s">
        <v>102</v>
      </c>
      <c r="L4" s="11" t="s">
        <v>103</v>
      </c>
      <c r="M4" s="11" t="s">
        <v>53</v>
      </c>
      <c r="N4" s="11" t="s">
        <v>104</v>
      </c>
    </row>
    <row r="5" spans="2:14" x14ac:dyDescent="0.3">
      <c r="C5" s="11">
        <v>1</v>
      </c>
      <c r="D5" s="12">
        <v>43862</v>
      </c>
      <c r="F5" s="13" t="str">
        <f>IFERROR(VLOOKUP(Tabela51112[[#This Row],[Produto]],cálculos!$H$3:$K$26,4,0),"")</f>
        <v/>
      </c>
      <c r="H5" s="30" t="str">
        <f>IFERROR(VLOOKUP(Tabela51112[[#This Row],[Produto]],cálculos!$H$3:$K$26,3,0),"")</f>
        <v/>
      </c>
      <c r="I5" s="2" t="str">
        <f>IFERROR(Tabela51112[[#This Row],[Preço Unitário]]*Tabela51112[[#This Row],[Quantidade]],"")</f>
        <v/>
      </c>
      <c r="J5" s="4"/>
      <c r="L5" s="30">
        <f>IFERROR(IF(AND(Tabela51112[[#This Row],[Entrega]]=K6,Tabela51112[[#This Row],[Id da Venda]]=C6),0,VLOOKUP(Tabela51112[[#This Row],[Entrega]],cálculos!$A$3:$B$7,2,0)),0)</f>
        <v>0</v>
      </c>
      <c r="M5" s="3" t="str">
        <f>IFERROR(SUM(Tabela51112[[#This Row],[Subtotal]]*(1-Tabela51112[[#This Row],[Desconto]]),Tabela51112[[#This Row],[Valor de Entrega]]),"")</f>
        <v/>
      </c>
      <c r="N5" s="14" t="str">
        <f>IFERROR(IF(Tabela51112[[#This Row],[Id da Venda]]=#REF!,"",SUMIF(Tabela51112[Id da Venda],Tabela51112[[#This Row],[Id da Venda]],Tabela51112[Total])),"")</f>
        <v/>
      </c>
    </row>
    <row r="6" spans="2:14" x14ac:dyDescent="0.3">
      <c r="C6" s="11" t="s">
        <v>53</v>
      </c>
      <c r="H6" s="13"/>
      <c r="I6" s="13"/>
      <c r="J6" s="13"/>
      <c r="L6" s="3">
        <f>SUBTOTAL(109,Tabela51112[Valor de Entrega])</f>
        <v>0</v>
      </c>
      <c r="N6" s="14">
        <f>SUBTOTAL(109,Tabela51112[Total para o Cliente])</f>
        <v>0</v>
      </c>
    </row>
    <row r="7" spans="2:14" ht="15" thickBot="1" x14ac:dyDescent="0.35"/>
    <row r="8" spans="2:14" ht="19.2" thickTop="1" thickBot="1" x14ac:dyDescent="0.4">
      <c r="C8" s="62" t="s">
        <v>117</v>
      </c>
      <c r="D8" s="63"/>
      <c r="E8" s="63"/>
      <c r="F8" s="63"/>
      <c r="G8" s="63"/>
      <c r="H8" s="63"/>
      <c r="I8" s="63"/>
      <c r="J8" s="63"/>
      <c r="K8" s="63"/>
      <c r="L8" s="63"/>
      <c r="M8" s="63"/>
      <c r="N8" s="62" cm="1">
        <f t="array" ref="N8">SUM(IF(FREQUENCY(Tabela51112[Id da Venda],Tabela51112[Id da Venda])&gt;0,1,0))</f>
        <v>1</v>
      </c>
    </row>
    <row r="9" spans="2:14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86C2BB-5304-4511-B11A-CD57A5D0EA69}">
          <x14:formula1>
            <xm:f>cálculos!$H$3:$H$26</xm:f>
          </x14:formula1>
          <xm:sqref>E5</xm:sqref>
        </x14:dataValidation>
        <x14:dataValidation type="list" allowBlank="1" showInputMessage="1" showErrorMessage="1" xr:uid="{C826A32E-3848-4C84-9CC6-2F7EAA6C9418}">
          <x14:formula1>
            <xm:f>cálculos!$A$3:$A$7</xm:f>
          </x14:formula1>
          <xm:sqref>K5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FCD6-64B1-4408-B4CA-DA14DFBD5868}">
  <sheetPr codeName="Planilha11"/>
  <dimension ref="B2:N9"/>
  <sheetViews>
    <sheetView showGridLines="0" workbookViewId="0">
      <selection activeCell="C5" sqref="C5"/>
    </sheetView>
  </sheetViews>
  <sheetFormatPr defaultRowHeight="14.4" x14ac:dyDescent="0.3"/>
  <cols>
    <col min="1" max="2" width="8.88671875" style="11"/>
    <col min="3" max="3" width="33.88671875" style="11" bestFit="1" customWidth="1"/>
    <col min="4" max="4" width="10.5546875" style="11" bestFit="1" customWidth="1"/>
    <col min="5" max="5" width="10.109375" style="11" bestFit="1" customWidth="1"/>
    <col min="6" max="6" width="9.6640625" style="11" bestFit="1" customWidth="1"/>
    <col min="7" max="7" width="13.109375" style="11" bestFit="1" customWidth="1"/>
    <col min="8" max="8" width="15.33203125" style="11" bestFit="1" customWidth="1"/>
    <col min="9" max="9" width="10.33203125" style="11" bestFit="1" customWidth="1"/>
    <col min="10" max="10" width="11.109375" style="11" bestFit="1" customWidth="1"/>
    <col min="11" max="11" width="9.6640625" style="11" bestFit="1" customWidth="1"/>
    <col min="12" max="12" width="17.21875" style="11" bestFit="1" customWidth="1"/>
    <col min="13" max="13" width="7.44140625" style="11" bestFit="1" customWidth="1"/>
    <col min="14" max="14" width="19.6640625" style="11" bestFit="1" customWidth="1"/>
    <col min="15" max="16384" width="8.88671875" style="11"/>
  </cols>
  <sheetData>
    <row r="2" spans="2:14" s="31" customFormat="1" ht="28.05" customHeight="1" x14ac:dyDescent="0.3">
      <c r="B2" s="34"/>
      <c r="C2" s="34" t="s">
        <v>142</v>
      </c>
    </row>
    <row r="3" spans="2:14" ht="24.6" customHeight="1" x14ac:dyDescent="0.3"/>
    <row r="4" spans="2:14" x14ac:dyDescent="0.3">
      <c r="C4" s="11" t="s">
        <v>100</v>
      </c>
      <c r="D4" s="11" t="s">
        <v>41</v>
      </c>
      <c r="E4" s="11" t="s">
        <v>94</v>
      </c>
      <c r="F4" s="11" t="s">
        <v>67</v>
      </c>
      <c r="G4" s="11" t="s">
        <v>61</v>
      </c>
      <c r="H4" s="11" t="s">
        <v>58</v>
      </c>
      <c r="I4" s="11" t="s">
        <v>101</v>
      </c>
      <c r="J4" s="11" t="s">
        <v>59</v>
      </c>
      <c r="K4" s="11" t="s">
        <v>102</v>
      </c>
      <c r="L4" s="11" t="s">
        <v>103</v>
      </c>
      <c r="M4" s="11" t="s">
        <v>53</v>
      </c>
      <c r="N4" s="11" t="s">
        <v>104</v>
      </c>
    </row>
    <row r="5" spans="2:14" x14ac:dyDescent="0.3">
      <c r="C5" s="11">
        <v>1</v>
      </c>
      <c r="D5" s="12">
        <v>43862</v>
      </c>
      <c r="F5" s="13" t="str">
        <f>IFERROR(VLOOKUP(Tabela511127[[#This Row],[Produto]],cálculos!$H$3:$K$26,4,0),"")</f>
        <v/>
      </c>
      <c r="H5" s="2" t="str">
        <f>IFERROR(VLOOKUP(Tabela511127[[#This Row],[Produto]],cálculos!$H$3:$K$26,3,0),"")</f>
        <v/>
      </c>
      <c r="I5" s="2" t="str">
        <f>IFERROR(Tabela511127[[#This Row],[Preço Unitário]]*Tabela511127[[#This Row],[Quantidade]],"")</f>
        <v/>
      </c>
      <c r="J5" s="4"/>
      <c r="L5" s="2">
        <f>IFERROR(IF(AND(Tabela511127[[#This Row],[Entrega]]=K6,Tabela511127[[#This Row],[Id da Venda]]=C6),0,VLOOKUP(Tabela511127[[#This Row],[Entrega]],cálculos!$A$3:$B$7,2,0)),0)</f>
        <v>0</v>
      </c>
      <c r="M5" s="3" t="str">
        <f>IFERROR(SUM(Tabela511127[[#This Row],[Subtotal]]*(1-Tabela511127[[#This Row],[Desconto]]),Tabela511127[[#This Row],[Valor de Entrega]]),"")</f>
        <v/>
      </c>
      <c r="N5" s="14">
        <f>IFERROR(IF(Tabela511127[[#This Row],[Id da Venda]]=C6,"",SUMIF(Tabela511127[Id da Venda],Tabela511127[[#This Row],[Id da Venda]],Tabela511127[Total])),"")</f>
        <v>0</v>
      </c>
    </row>
    <row r="6" spans="2:14" x14ac:dyDescent="0.3">
      <c r="C6" s="11" t="s">
        <v>53</v>
      </c>
      <c r="H6" s="13"/>
      <c r="I6" s="13"/>
      <c r="J6" s="13"/>
      <c r="L6" s="3">
        <f>SUBTOTAL(109,Tabela511127[Valor de Entrega])</f>
        <v>0</v>
      </c>
      <c r="N6" s="14">
        <f>SUBTOTAL(109,Tabela511127[Total para o Cliente])</f>
        <v>0</v>
      </c>
    </row>
    <row r="7" spans="2:14" ht="15" thickBot="1" x14ac:dyDescent="0.35"/>
    <row r="8" spans="2:14" ht="19.2" thickTop="1" thickBot="1" x14ac:dyDescent="0.4">
      <c r="C8" s="62" t="s">
        <v>117</v>
      </c>
      <c r="D8" s="63"/>
      <c r="E8" s="63"/>
      <c r="F8" s="63"/>
      <c r="G8" s="63"/>
      <c r="H8" s="63"/>
      <c r="I8" s="63"/>
      <c r="J8" s="63"/>
      <c r="K8" s="63"/>
      <c r="L8" s="63"/>
      <c r="M8" s="63"/>
      <c r="N8" s="62" cm="1">
        <f t="array" ref="N8">SUM(IF(FREQUENCY(Tabela511127[Id da Venda],Tabela511127[Id da Venda])&gt;0,1,0))</f>
        <v>1</v>
      </c>
    </row>
    <row r="9" spans="2:14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D7DF899-2DCC-4122-AEF6-E149B999649F}">
          <x14:formula1>
            <xm:f>cálculos!$H$3:$H$26</xm:f>
          </x14:formula1>
          <xm:sqref>E5</xm:sqref>
        </x14:dataValidation>
        <x14:dataValidation type="list" allowBlank="1" showInputMessage="1" showErrorMessage="1" xr:uid="{38F0873B-2B94-4863-8099-A96C71E81430}">
          <x14:formula1>
            <xm:f>cálculos!$A$3:$A$7</xm:f>
          </x14:formula1>
          <xm:sqref>K5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FF595-6FB5-4921-9E24-E79197D0DC0B}">
  <sheetPr codeName="Planilha12"/>
  <dimension ref="B2:N9"/>
  <sheetViews>
    <sheetView showGridLines="0" workbookViewId="0">
      <selection activeCell="C5" sqref="C5"/>
    </sheetView>
  </sheetViews>
  <sheetFormatPr defaultRowHeight="14.4" x14ac:dyDescent="0.3"/>
  <cols>
    <col min="1" max="2" width="8.88671875" style="11"/>
    <col min="3" max="3" width="33.88671875" style="11" bestFit="1" customWidth="1"/>
    <col min="4" max="4" width="10.5546875" style="11" bestFit="1" customWidth="1"/>
    <col min="5" max="5" width="10.109375" style="11" bestFit="1" customWidth="1"/>
    <col min="6" max="6" width="9.6640625" style="11" bestFit="1" customWidth="1"/>
    <col min="7" max="7" width="13.109375" style="11" bestFit="1" customWidth="1"/>
    <col min="8" max="8" width="15.33203125" style="11" bestFit="1" customWidth="1"/>
    <col min="9" max="9" width="10.33203125" style="11" bestFit="1" customWidth="1"/>
    <col min="10" max="10" width="11.109375" style="11" bestFit="1" customWidth="1"/>
    <col min="11" max="11" width="9.6640625" style="11" bestFit="1" customWidth="1"/>
    <col min="12" max="12" width="17.21875" style="11" bestFit="1" customWidth="1"/>
    <col min="13" max="13" width="7.44140625" style="11" bestFit="1" customWidth="1"/>
    <col min="14" max="14" width="19.6640625" style="11" bestFit="1" customWidth="1"/>
    <col min="15" max="16384" width="8.88671875" style="11"/>
  </cols>
  <sheetData>
    <row r="2" spans="2:14" s="31" customFormat="1" ht="28.05" customHeight="1" x14ac:dyDescent="0.3">
      <c r="B2" s="34"/>
      <c r="C2" s="34" t="s">
        <v>107</v>
      </c>
    </row>
    <row r="3" spans="2:14" ht="24.6" customHeight="1" x14ac:dyDescent="0.3"/>
    <row r="4" spans="2:14" x14ac:dyDescent="0.3">
      <c r="C4" s="11" t="s">
        <v>100</v>
      </c>
      <c r="D4" s="11" t="s">
        <v>41</v>
      </c>
      <c r="E4" s="11" t="s">
        <v>94</v>
      </c>
      <c r="F4" s="11" t="s">
        <v>67</v>
      </c>
      <c r="G4" s="11" t="s">
        <v>61</v>
      </c>
      <c r="H4" s="11" t="s">
        <v>58</v>
      </c>
      <c r="I4" s="11" t="s">
        <v>101</v>
      </c>
      <c r="J4" s="11" t="s">
        <v>59</v>
      </c>
      <c r="K4" s="11" t="s">
        <v>102</v>
      </c>
      <c r="L4" s="11" t="s">
        <v>103</v>
      </c>
      <c r="M4" s="11" t="s">
        <v>53</v>
      </c>
      <c r="N4" s="11" t="s">
        <v>104</v>
      </c>
    </row>
    <row r="5" spans="2:14" x14ac:dyDescent="0.3">
      <c r="C5" s="11">
        <v>1</v>
      </c>
      <c r="D5" s="12">
        <v>43862</v>
      </c>
      <c r="F5" s="13" t="str">
        <f>IFERROR(VLOOKUP(Tabela511128[[#This Row],[Produto]],cálculos!$H$3:$K$26,4,0),"")</f>
        <v/>
      </c>
      <c r="H5" s="2" t="str">
        <f>IFERROR(VLOOKUP(Tabela511128[[#This Row],[Produto]],cálculos!$H$3:$K$26,3,0),"")</f>
        <v/>
      </c>
      <c r="I5" s="2" t="str">
        <f>IFERROR(Tabela511128[[#This Row],[Preço Unitário]]*Tabela511128[[#This Row],[Quantidade]],"")</f>
        <v/>
      </c>
      <c r="J5" s="4"/>
      <c r="L5" s="2">
        <f>IFERROR(IF(AND(Tabela511128[[#This Row],[Entrega]]=K6,Tabela511128[[#This Row],[Id da Venda]]=C6),0,VLOOKUP(Tabela511128[[#This Row],[Entrega]],cálculos!$A$3:$B$7,2,0)),0)</f>
        <v>0</v>
      </c>
      <c r="M5" s="3" t="str">
        <f>IFERROR(SUM(Tabela511128[[#This Row],[Subtotal]]*(1-Tabela511128[[#This Row],[Desconto]]),Tabela511128[[#This Row],[Valor de Entrega]]),"")</f>
        <v/>
      </c>
      <c r="N5" s="14">
        <f>IFERROR(IF(Tabela511128[[#This Row],[Id da Venda]]=C6,"",SUMIF(Tabela511128[Id da Venda],Tabela511128[[#This Row],[Id da Venda]],Tabela511128[Total])),"")</f>
        <v>0</v>
      </c>
    </row>
    <row r="6" spans="2:14" x14ac:dyDescent="0.3">
      <c r="C6" s="11" t="s">
        <v>53</v>
      </c>
      <c r="H6" s="13"/>
      <c r="I6" s="13"/>
      <c r="J6" s="13"/>
      <c r="L6" s="3">
        <f>SUBTOTAL(109,Tabela511128[Valor de Entrega])</f>
        <v>0</v>
      </c>
      <c r="N6" s="14">
        <f>SUBTOTAL(109,Tabela511128[Total para o Cliente])</f>
        <v>0</v>
      </c>
    </row>
    <row r="7" spans="2:14" ht="15" thickBot="1" x14ac:dyDescent="0.35"/>
    <row r="8" spans="2:14" ht="19.2" thickTop="1" thickBot="1" x14ac:dyDescent="0.4">
      <c r="C8" s="62" t="s">
        <v>117</v>
      </c>
      <c r="D8" s="63"/>
      <c r="E8" s="63"/>
      <c r="F8" s="63"/>
      <c r="G8" s="63"/>
      <c r="H8" s="63"/>
      <c r="I8" s="63"/>
      <c r="J8" s="63"/>
      <c r="K8" s="63"/>
      <c r="L8" s="63"/>
      <c r="M8" s="63"/>
      <c r="N8" s="62" cm="1">
        <f t="array" ref="N8">SUM(IF(FREQUENCY(Tabela511128[Id da Venda],Tabela511128[Id da Venda])&gt;0,1,0))</f>
        <v>1</v>
      </c>
    </row>
    <row r="9" spans="2:14" ht="15" thickTop="1" x14ac:dyDescent="0.3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3E064E-0750-4D67-B3A7-E7C88621A48C}">
          <x14:formula1>
            <xm:f>cálculos!$H$3:$H$26</xm:f>
          </x14:formula1>
          <xm:sqref>E5</xm:sqref>
        </x14:dataValidation>
        <x14:dataValidation type="list" allowBlank="1" showInputMessage="1" showErrorMessage="1" xr:uid="{A0199574-B0BC-4199-A1DA-005A7365EE12}">
          <x14:formula1>
            <xm:f>cálculos!$A$3:$A$7</xm:f>
          </x14:formula1>
          <xm:sqref>K5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A2:K26"/>
  <sheetViews>
    <sheetView workbookViewId="0">
      <selection activeCell="H3" sqref="H3"/>
    </sheetView>
  </sheetViews>
  <sheetFormatPr defaultRowHeight="14.4" x14ac:dyDescent="0.3"/>
  <cols>
    <col min="1" max="1" width="17" bestFit="1" customWidth="1"/>
    <col min="2" max="2" width="8.33203125" bestFit="1" customWidth="1"/>
    <col min="8" max="8" width="14.77734375" bestFit="1" customWidth="1"/>
    <col min="9" max="9" width="23" bestFit="1" customWidth="1"/>
    <col min="10" max="10" width="21.77734375" bestFit="1" customWidth="1"/>
    <col min="11" max="11" width="7.77734375" bestFit="1" customWidth="1"/>
  </cols>
  <sheetData>
    <row r="2" spans="1:11" x14ac:dyDescent="0.3">
      <c r="A2" s="6" t="s">
        <v>62</v>
      </c>
      <c r="B2" s="6" t="s">
        <v>63</v>
      </c>
      <c r="H2" s="6" t="s">
        <v>64</v>
      </c>
      <c r="I2" s="6" t="s">
        <v>65</v>
      </c>
      <c r="J2" s="6" t="s">
        <v>66</v>
      </c>
      <c r="K2" s="6" t="s">
        <v>67</v>
      </c>
    </row>
    <row r="3" spans="1:11" x14ac:dyDescent="0.3">
      <c r="A3" t="s">
        <v>68</v>
      </c>
      <c r="B3" s="2">
        <v>5</v>
      </c>
      <c r="H3" t="s">
        <v>20</v>
      </c>
      <c r="I3" s="2">
        <v>2.8405</v>
      </c>
      <c r="J3" s="2">
        <v>2.99</v>
      </c>
      <c r="K3" t="s">
        <v>69</v>
      </c>
    </row>
    <row r="4" spans="1:11" x14ac:dyDescent="0.3">
      <c r="A4" t="s">
        <v>70</v>
      </c>
      <c r="B4" s="2">
        <v>0</v>
      </c>
      <c r="H4" t="s">
        <v>29</v>
      </c>
      <c r="I4" s="2">
        <v>1.0580000000000001</v>
      </c>
      <c r="J4" s="2">
        <v>1.1499999999999999</v>
      </c>
      <c r="K4" t="s">
        <v>71</v>
      </c>
    </row>
    <row r="5" spans="1:11" x14ac:dyDescent="0.3">
      <c r="A5" t="s">
        <v>72</v>
      </c>
      <c r="B5" s="2">
        <v>6.5</v>
      </c>
      <c r="C5" s="7"/>
      <c r="H5" t="s">
        <v>17</v>
      </c>
      <c r="I5" s="2">
        <v>2.3406000000000002</v>
      </c>
      <c r="J5" s="2">
        <v>2.4900000000000002</v>
      </c>
      <c r="K5" t="s">
        <v>73</v>
      </c>
    </row>
    <row r="6" spans="1:11" x14ac:dyDescent="0.3">
      <c r="A6" t="s">
        <v>74</v>
      </c>
      <c r="B6" s="2">
        <v>8</v>
      </c>
      <c r="C6" s="7"/>
      <c r="H6" t="s">
        <v>34</v>
      </c>
      <c r="I6" s="2">
        <v>1.8506999999999998</v>
      </c>
      <c r="J6" s="2">
        <v>1.99</v>
      </c>
      <c r="K6" t="s">
        <v>71</v>
      </c>
    </row>
    <row r="7" spans="1:11" x14ac:dyDescent="0.3">
      <c r="A7" t="s">
        <v>75</v>
      </c>
      <c r="B7" s="2">
        <v>6.5</v>
      </c>
      <c r="C7" s="7"/>
      <c r="H7" t="s">
        <v>37</v>
      </c>
      <c r="I7" s="2">
        <v>1.0924999999999998</v>
      </c>
      <c r="J7" s="2">
        <v>1.1499999999999999</v>
      </c>
      <c r="K7" t="s">
        <v>71</v>
      </c>
    </row>
    <row r="8" spans="1:11" x14ac:dyDescent="0.3">
      <c r="C8" s="7"/>
      <c r="H8" t="s">
        <v>33</v>
      </c>
      <c r="I8" s="2">
        <v>0.74260000000000004</v>
      </c>
      <c r="J8" s="2">
        <v>0.79</v>
      </c>
      <c r="K8" t="s">
        <v>71</v>
      </c>
    </row>
    <row r="9" spans="1:11" x14ac:dyDescent="0.3">
      <c r="C9" s="7"/>
      <c r="H9" t="s">
        <v>21</v>
      </c>
      <c r="I9" s="2">
        <v>14.469000000000001</v>
      </c>
      <c r="J9" s="2">
        <v>15.9</v>
      </c>
      <c r="K9" t="s">
        <v>73</v>
      </c>
    </row>
    <row r="10" spans="1:11" x14ac:dyDescent="0.3">
      <c r="C10" s="7"/>
      <c r="H10" t="s">
        <v>27</v>
      </c>
      <c r="I10" s="2">
        <v>3.6309000000000005</v>
      </c>
      <c r="J10" s="2">
        <v>3.99</v>
      </c>
      <c r="K10" t="s">
        <v>73</v>
      </c>
    </row>
    <row r="11" spans="1:11" x14ac:dyDescent="0.3">
      <c r="C11" s="7"/>
      <c r="H11" t="s">
        <v>30</v>
      </c>
      <c r="I11" s="2">
        <v>2.1023999999999998</v>
      </c>
      <c r="J11" s="2">
        <v>2.19</v>
      </c>
      <c r="K11" t="s">
        <v>78</v>
      </c>
    </row>
    <row r="12" spans="1:11" x14ac:dyDescent="0.3">
      <c r="C12" s="7"/>
      <c r="H12" t="s">
        <v>35</v>
      </c>
      <c r="I12" s="2">
        <v>4.5409000000000006</v>
      </c>
      <c r="J12" s="2">
        <v>4.99</v>
      </c>
      <c r="K12" t="s">
        <v>79</v>
      </c>
    </row>
    <row r="13" spans="1:11" x14ac:dyDescent="0.3">
      <c r="C13" s="7"/>
      <c r="H13" t="s">
        <v>36</v>
      </c>
      <c r="I13" s="2">
        <v>6.3449999999999998</v>
      </c>
      <c r="J13" s="2">
        <v>6.75</v>
      </c>
      <c r="K13" t="s">
        <v>80</v>
      </c>
    </row>
    <row r="14" spans="1:11" x14ac:dyDescent="0.3">
      <c r="H14" t="s">
        <v>32</v>
      </c>
      <c r="I14" s="2">
        <v>2.3660000000000001</v>
      </c>
      <c r="J14" s="2">
        <v>2.6</v>
      </c>
      <c r="K14" t="s">
        <v>69</v>
      </c>
    </row>
    <row r="15" spans="1:11" x14ac:dyDescent="0.3">
      <c r="H15" t="s">
        <v>18</v>
      </c>
      <c r="I15" s="2">
        <v>4.0659999999999998</v>
      </c>
      <c r="J15" s="2">
        <v>4.28</v>
      </c>
      <c r="K15" t="s">
        <v>73</v>
      </c>
    </row>
    <row r="16" spans="1:11" x14ac:dyDescent="0.3">
      <c r="H16" t="s">
        <v>22</v>
      </c>
      <c r="I16" s="2">
        <v>6.4216000000000006</v>
      </c>
      <c r="J16" s="2">
        <v>6.98</v>
      </c>
      <c r="K16" t="s">
        <v>73</v>
      </c>
    </row>
    <row r="17" spans="8:11" x14ac:dyDescent="0.3">
      <c r="H17" t="s">
        <v>76</v>
      </c>
      <c r="I17" s="2">
        <v>1.3708</v>
      </c>
      <c r="J17" s="2">
        <v>1.49</v>
      </c>
      <c r="K17" t="s">
        <v>77</v>
      </c>
    </row>
    <row r="18" spans="8:11" x14ac:dyDescent="0.3">
      <c r="H18" t="s">
        <v>81</v>
      </c>
      <c r="I18" s="2">
        <v>2.6299000000000001</v>
      </c>
      <c r="J18" s="2">
        <v>2.89</v>
      </c>
      <c r="K18" t="s">
        <v>69</v>
      </c>
    </row>
    <row r="19" spans="8:11" x14ac:dyDescent="0.3">
      <c r="H19" t="s">
        <v>23</v>
      </c>
      <c r="I19" s="2">
        <v>22.226999999999997</v>
      </c>
      <c r="J19" s="2">
        <v>23.9</v>
      </c>
      <c r="K19" t="s">
        <v>73</v>
      </c>
    </row>
    <row r="20" spans="8:11" x14ac:dyDescent="0.3">
      <c r="H20" t="s">
        <v>24</v>
      </c>
      <c r="I20" s="2">
        <v>23.827999999999999</v>
      </c>
      <c r="J20" s="2">
        <v>25.9</v>
      </c>
      <c r="K20" t="s">
        <v>73</v>
      </c>
    </row>
    <row r="21" spans="8:11" x14ac:dyDescent="0.3">
      <c r="H21" t="s">
        <v>82</v>
      </c>
      <c r="I21" s="2">
        <v>2.1749000000000001</v>
      </c>
      <c r="J21" s="2">
        <v>2.39</v>
      </c>
      <c r="K21" t="s">
        <v>77</v>
      </c>
    </row>
    <row r="22" spans="8:11" x14ac:dyDescent="0.3">
      <c r="H22" t="s">
        <v>26</v>
      </c>
      <c r="I22" s="2">
        <v>3.2084999999999999</v>
      </c>
      <c r="J22" s="2">
        <v>3.45</v>
      </c>
      <c r="K22" t="s">
        <v>77</v>
      </c>
    </row>
    <row r="23" spans="8:11" x14ac:dyDescent="0.3">
      <c r="H23" t="s">
        <v>19</v>
      </c>
      <c r="I23" s="2">
        <v>5.3544000000000009</v>
      </c>
      <c r="J23" s="2">
        <v>5.82</v>
      </c>
      <c r="K23" t="s">
        <v>73</v>
      </c>
    </row>
    <row r="24" spans="8:11" x14ac:dyDescent="0.3">
      <c r="H24" t="s">
        <v>28</v>
      </c>
      <c r="I24" s="2">
        <v>9.1009999999999991</v>
      </c>
      <c r="J24" s="2">
        <v>9.58</v>
      </c>
      <c r="K24" t="s">
        <v>73</v>
      </c>
    </row>
    <row r="25" spans="8:11" x14ac:dyDescent="0.3">
      <c r="H25" t="s">
        <v>25</v>
      </c>
      <c r="I25" s="2">
        <v>26.012999999999998</v>
      </c>
      <c r="J25" s="2">
        <v>29.9</v>
      </c>
      <c r="K25" t="s">
        <v>83</v>
      </c>
    </row>
    <row r="26" spans="8:11" x14ac:dyDescent="0.3">
      <c r="H26" t="s">
        <v>31</v>
      </c>
      <c r="I26" s="2">
        <v>46.664999999999999</v>
      </c>
      <c r="J26" s="2">
        <v>54.9</v>
      </c>
      <c r="K26" t="s">
        <v>83</v>
      </c>
    </row>
  </sheetData>
  <autoFilter ref="H2:K2" xr:uid="{6878BD4D-1049-40BA-A88E-F759E2E9E49F}">
    <sortState xmlns:xlrd2="http://schemas.microsoft.com/office/spreadsheetml/2017/richdata2" ref="H3:K26">
      <sortCondition ref="H2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Menu</vt:lpstr>
      <vt:lpstr>Despesas Fixas</vt:lpstr>
      <vt:lpstr>Compra Mercadorias</vt:lpstr>
      <vt:lpstr>Controle de Estoque</vt:lpstr>
      <vt:lpstr>Investimentos</vt:lpstr>
      <vt:lpstr>Resultados</vt:lpstr>
      <vt:lpstr>Vendas</vt:lpstr>
      <vt:lpstr>Semana 1</vt:lpstr>
      <vt:lpstr>Semana 2</vt:lpstr>
      <vt:lpstr>Semana 3</vt:lpstr>
      <vt:lpstr>Semana 4</vt:lpstr>
      <vt:lpstr>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Gustavo Esporte dos Santos</cp:lastModifiedBy>
  <cp:lastPrinted>2019-12-02T22:21:58Z</cp:lastPrinted>
  <dcterms:created xsi:type="dcterms:W3CDTF">2015-06-24T19:21:22Z</dcterms:created>
  <dcterms:modified xsi:type="dcterms:W3CDTF">2020-02-02T14:45:44Z</dcterms:modified>
</cp:coreProperties>
</file>