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cursos online\Excel Udemy\projeto 80_20\"/>
    </mc:Choice>
  </mc:AlternateContent>
  <xr:revisionPtr revIDLastSave="0" documentId="13_ncr:1_{055115F2-FA05-4656-B521-10629557224C}" xr6:coauthVersionLast="45" xr6:coauthVersionMax="45" xr10:uidLastSave="{00000000-0000-0000-0000-000000000000}"/>
  <bookViews>
    <workbookView xWindow="-108" yWindow="-108" windowWidth="23256" windowHeight="12720" tabRatio="677" firstSheet="2" activeTab="8" xr2:uid="{00000000-000D-0000-FFFF-FFFF00000000}"/>
  </bookViews>
  <sheets>
    <sheet name="Menu" sheetId="1" r:id="rId1"/>
    <sheet name="Despesas Fixas" sheetId="2" r:id="rId2"/>
    <sheet name="Compra Mercadorias" sheetId="6" r:id="rId3"/>
    <sheet name="Controle de Estoque" sheetId="8" r:id="rId4"/>
    <sheet name="Investimentos" sheetId="7" r:id="rId5"/>
    <sheet name="Resultados" sheetId="4" r:id="rId6"/>
    <sheet name="Vendas" sheetId="3" r:id="rId7"/>
    <sheet name="Semana 1" sheetId="9" r:id="rId8"/>
    <sheet name="Análise Semana 1" sheetId="14" r:id="rId9"/>
    <sheet name="Semana 2" sheetId="10" r:id="rId10"/>
    <sheet name="Análise Semana 2" sheetId="15" r:id="rId11"/>
    <sheet name="Semana 3" sheetId="11" r:id="rId12"/>
    <sheet name="Semana 4" sheetId="12" r:id="rId13"/>
    <sheet name="Semana 5" sheetId="13" r:id="rId14"/>
    <sheet name="cálculos" sheetId="5" r:id="rId15"/>
  </sheets>
  <definedNames>
    <definedName name="_xlnm._FilterDatabase" localSheetId="14" hidden="1">cálculos!$H$2:$K$2</definedName>
    <definedName name="_xlnm.Print_Area" localSheetId="5">Resultados!$C$4:$E$25</definedName>
  </definedNames>
  <calcPr calcId="191029"/>
  <pivotCaches>
    <pivotCache cacheId="8" r:id="rId16"/>
    <pivotCache cacheId="7" r:id="rId1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5" i="9" l="1"/>
  <c r="M5" i="9"/>
  <c r="L5" i="9"/>
  <c r="G29" i="2" l="1"/>
  <c r="F5" i="8" l="1"/>
  <c r="G5" i="8" s="1"/>
  <c r="F6" i="8"/>
  <c r="G6" i="8" s="1"/>
  <c r="F7" i="8"/>
  <c r="G7" i="8" s="1"/>
  <c r="F8" i="8"/>
  <c r="G8" i="8" s="1"/>
  <c r="F9" i="8"/>
  <c r="G9" i="8" s="1"/>
  <c r="F10" i="8"/>
  <c r="G10" i="8" s="1"/>
  <c r="F11" i="8"/>
  <c r="G11" i="8" s="1"/>
  <c r="F12" i="8"/>
  <c r="G12" i="8" s="1"/>
  <c r="F13" i="8"/>
  <c r="G13" i="8" s="1"/>
  <c r="F14" i="8"/>
  <c r="G14" i="8" s="1"/>
  <c r="F15" i="8"/>
  <c r="G15" i="8" s="1"/>
  <c r="F16" i="8"/>
  <c r="G16" i="8" s="1"/>
  <c r="F17" i="8"/>
  <c r="G17" i="8" s="1"/>
  <c r="F18" i="8"/>
  <c r="G18" i="8" s="1"/>
  <c r="F19" i="8"/>
  <c r="G19" i="8" s="1"/>
  <c r="F20" i="8"/>
  <c r="G20" i="8" s="1"/>
  <c r="F21" i="8"/>
  <c r="G21" i="8" s="1"/>
  <c r="F22" i="8"/>
  <c r="G22" i="8" s="1"/>
  <c r="F23" i="8"/>
  <c r="G23" i="8" s="1"/>
  <c r="F24" i="8"/>
  <c r="G24" i="8" s="1"/>
  <c r="F25" i="8"/>
  <c r="G25" i="8" s="1"/>
  <c r="F26" i="8"/>
  <c r="G26" i="8" s="1"/>
  <c r="F27" i="8"/>
  <c r="G27" i="8" s="1"/>
  <c r="F28" i="8"/>
  <c r="G28" i="8" s="1"/>
  <c r="F5" i="10"/>
  <c r="H5" i="10"/>
  <c r="I5" i="10" s="1"/>
  <c r="M5" i="10" s="1"/>
  <c r="L5" i="10"/>
  <c r="N5" i="10" l="1"/>
  <c r="N6" i="9" l="1"/>
  <c r="N7" i="9"/>
  <c r="N11" i="9"/>
  <c r="N13" i="9"/>
  <c r="N14" i="9"/>
  <c r="N15" i="9"/>
  <c r="N19" i="9"/>
  <c r="N20" i="9"/>
  <c r="N23" i="9"/>
  <c r="N27" i="9"/>
  <c r="N28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E17" i="4"/>
  <c r="E13" i="4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5" i="12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N32" i="9" l="1" a="1"/>
  <c r="N32" i="9" s="1"/>
  <c r="C5" i="8"/>
  <c r="N5" i="13" l="1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5" i="12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0" i="13" l="1"/>
  <c r="D13" i="3" s="1"/>
  <c r="N30" i="12"/>
  <c r="D12" i="3" s="1"/>
  <c r="N32" i="13" a="1"/>
  <c r="N32" i="13" s="1"/>
  <c r="N32" i="12" a="1"/>
  <c r="N32" i="12" s="1"/>
  <c r="N32" i="11" a="1"/>
  <c r="N32" i="11" s="1"/>
  <c r="N33" i="10" a="1"/>
  <c r="N33" i="10" s="1"/>
  <c r="C17" i="3"/>
  <c r="L29" i="13"/>
  <c r="I29" i="13"/>
  <c r="M29" i="13" s="1"/>
  <c r="F29" i="13"/>
  <c r="L28" i="13"/>
  <c r="I28" i="13"/>
  <c r="M28" i="13" s="1"/>
  <c r="F28" i="13"/>
  <c r="L27" i="13"/>
  <c r="I27" i="13"/>
  <c r="M27" i="13" s="1"/>
  <c r="F27" i="13"/>
  <c r="L26" i="13"/>
  <c r="I26" i="13"/>
  <c r="M26" i="13" s="1"/>
  <c r="F26" i="13"/>
  <c r="L25" i="13"/>
  <c r="I25" i="13"/>
  <c r="M25" i="13" s="1"/>
  <c r="F25" i="13"/>
  <c r="L24" i="13"/>
  <c r="I24" i="13"/>
  <c r="M24" i="13" s="1"/>
  <c r="F24" i="13"/>
  <c r="L23" i="13"/>
  <c r="I23" i="13"/>
  <c r="M23" i="13" s="1"/>
  <c r="F23" i="13"/>
  <c r="M22" i="13"/>
  <c r="L22" i="13"/>
  <c r="I22" i="13"/>
  <c r="F22" i="13"/>
  <c r="L21" i="13"/>
  <c r="I21" i="13"/>
  <c r="M21" i="13" s="1"/>
  <c r="F21" i="13"/>
  <c r="L20" i="13"/>
  <c r="I20" i="13"/>
  <c r="M20" i="13" s="1"/>
  <c r="F20" i="13"/>
  <c r="L19" i="13"/>
  <c r="I19" i="13"/>
  <c r="M19" i="13" s="1"/>
  <c r="F19" i="13"/>
  <c r="L18" i="13"/>
  <c r="I18" i="13"/>
  <c r="M18" i="13" s="1"/>
  <c r="F18" i="13"/>
  <c r="L17" i="13"/>
  <c r="I17" i="13"/>
  <c r="M17" i="13" s="1"/>
  <c r="F17" i="13"/>
  <c r="L16" i="13"/>
  <c r="I16" i="13"/>
  <c r="M16" i="13" s="1"/>
  <c r="F16" i="13"/>
  <c r="L15" i="13"/>
  <c r="I15" i="13"/>
  <c r="M15" i="13" s="1"/>
  <c r="F15" i="13"/>
  <c r="M14" i="13"/>
  <c r="L14" i="13"/>
  <c r="I14" i="13"/>
  <c r="F14" i="13"/>
  <c r="L13" i="13"/>
  <c r="I13" i="13"/>
  <c r="M13" i="13" s="1"/>
  <c r="F13" i="13"/>
  <c r="L12" i="13"/>
  <c r="I12" i="13"/>
  <c r="M12" i="13" s="1"/>
  <c r="F12" i="13"/>
  <c r="L11" i="13"/>
  <c r="I11" i="13"/>
  <c r="M11" i="13" s="1"/>
  <c r="F11" i="13"/>
  <c r="L10" i="13"/>
  <c r="I10" i="13"/>
  <c r="M10" i="13" s="1"/>
  <c r="F10" i="13"/>
  <c r="L9" i="13"/>
  <c r="I9" i="13"/>
  <c r="M9" i="13" s="1"/>
  <c r="F9" i="13"/>
  <c r="L8" i="13"/>
  <c r="I8" i="13"/>
  <c r="M8" i="13" s="1"/>
  <c r="F8" i="13"/>
  <c r="L7" i="13"/>
  <c r="I7" i="13"/>
  <c r="M7" i="13" s="1"/>
  <c r="F7" i="13"/>
  <c r="L6" i="13"/>
  <c r="I6" i="13"/>
  <c r="M6" i="13" s="1"/>
  <c r="F6" i="13"/>
  <c r="L5" i="13"/>
  <c r="L30" i="13" s="1"/>
  <c r="I5" i="13"/>
  <c r="M5" i="13" s="1"/>
  <c r="F5" i="13"/>
  <c r="L29" i="12"/>
  <c r="I29" i="12"/>
  <c r="M29" i="12" s="1"/>
  <c r="F29" i="12"/>
  <c r="L28" i="12"/>
  <c r="I28" i="12"/>
  <c r="M28" i="12" s="1"/>
  <c r="F28" i="12"/>
  <c r="L27" i="12"/>
  <c r="I27" i="12"/>
  <c r="M27" i="12" s="1"/>
  <c r="F27" i="12"/>
  <c r="L26" i="12"/>
  <c r="I26" i="12"/>
  <c r="M26" i="12" s="1"/>
  <c r="F26" i="12"/>
  <c r="L25" i="12"/>
  <c r="I25" i="12"/>
  <c r="M25" i="12" s="1"/>
  <c r="F25" i="12"/>
  <c r="L24" i="12"/>
  <c r="I24" i="12"/>
  <c r="M24" i="12" s="1"/>
  <c r="F24" i="12"/>
  <c r="L23" i="12"/>
  <c r="I23" i="12"/>
  <c r="M23" i="12" s="1"/>
  <c r="F23" i="12"/>
  <c r="L22" i="12"/>
  <c r="I22" i="12"/>
  <c r="M22" i="12" s="1"/>
  <c r="F22" i="12"/>
  <c r="L21" i="12"/>
  <c r="I21" i="12"/>
  <c r="M21" i="12" s="1"/>
  <c r="F21" i="12"/>
  <c r="L20" i="12"/>
  <c r="I20" i="12"/>
  <c r="M20" i="12" s="1"/>
  <c r="F20" i="12"/>
  <c r="L19" i="12"/>
  <c r="I19" i="12"/>
  <c r="M19" i="12" s="1"/>
  <c r="F19" i="12"/>
  <c r="L18" i="12"/>
  <c r="I18" i="12"/>
  <c r="M18" i="12" s="1"/>
  <c r="F18" i="12"/>
  <c r="L17" i="12"/>
  <c r="I17" i="12"/>
  <c r="M17" i="12" s="1"/>
  <c r="F17" i="12"/>
  <c r="L16" i="12"/>
  <c r="I16" i="12"/>
  <c r="M16" i="12" s="1"/>
  <c r="F16" i="12"/>
  <c r="L15" i="12"/>
  <c r="I15" i="12"/>
  <c r="M15" i="12" s="1"/>
  <c r="F15" i="12"/>
  <c r="L14" i="12"/>
  <c r="I14" i="12"/>
  <c r="M14" i="12" s="1"/>
  <c r="F14" i="12"/>
  <c r="L13" i="12"/>
  <c r="I13" i="12"/>
  <c r="M13" i="12" s="1"/>
  <c r="F13" i="12"/>
  <c r="L12" i="12"/>
  <c r="I12" i="12"/>
  <c r="M12" i="12" s="1"/>
  <c r="F12" i="12"/>
  <c r="L11" i="12"/>
  <c r="L30" i="12" s="1"/>
  <c r="I11" i="12"/>
  <c r="M11" i="12" s="1"/>
  <c r="F11" i="12"/>
  <c r="L10" i="12"/>
  <c r="I10" i="12"/>
  <c r="M10" i="12" s="1"/>
  <c r="F10" i="12"/>
  <c r="L9" i="12"/>
  <c r="I9" i="12"/>
  <c r="M9" i="12" s="1"/>
  <c r="F9" i="12"/>
  <c r="L8" i="12"/>
  <c r="I8" i="12"/>
  <c r="M8" i="12" s="1"/>
  <c r="F8" i="12"/>
  <c r="L7" i="12"/>
  <c r="I7" i="12"/>
  <c r="M7" i="12" s="1"/>
  <c r="F7" i="12"/>
  <c r="L6" i="12"/>
  <c r="I6" i="12"/>
  <c r="M6" i="12" s="1"/>
  <c r="F6" i="12"/>
  <c r="L5" i="12"/>
  <c r="I5" i="12"/>
  <c r="M5" i="12" s="1"/>
  <c r="F5" i="12"/>
  <c r="L29" i="11" l="1"/>
  <c r="I29" i="11"/>
  <c r="M29" i="11" s="1"/>
  <c r="F29" i="11"/>
  <c r="L28" i="11"/>
  <c r="I28" i="11"/>
  <c r="M28" i="11" s="1"/>
  <c r="F28" i="11"/>
  <c r="L27" i="11"/>
  <c r="I27" i="11"/>
  <c r="M27" i="11" s="1"/>
  <c r="F27" i="11"/>
  <c r="L26" i="11"/>
  <c r="I26" i="11"/>
  <c r="M26" i="11" s="1"/>
  <c r="F26" i="11"/>
  <c r="L25" i="11"/>
  <c r="I25" i="11"/>
  <c r="M25" i="11" s="1"/>
  <c r="F25" i="11"/>
  <c r="L24" i="11"/>
  <c r="I24" i="11"/>
  <c r="M24" i="11" s="1"/>
  <c r="F24" i="11"/>
  <c r="L23" i="11"/>
  <c r="I23" i="11"/>
  <c r="M23" i="11" s="1"/>
  <c r="F23" i="11"/>
  <c r="L22" i="11"/>
  <c r="I22" i="11"/>
  <c r="M22" i="11" s="1"/>
  <c r="F22" i="11"/>
  <c r="L21" i="11"/>
  <c r="I21" i="11"/>
  <c r="M21" i="11" s="1"/>
  <c r="F21" i="11"/>
  <c r="L20" i="11"/>
  <c r="I20" i="11"/>
  <c r="M20" i="11" s="1"/>
  <c r="F20" i="11"/>
  <c r="L19" i="11"/>
  <c r="I19" i="11"/>
  <c r="M19" i="11" s="1"/>
  <c r="F19" i="11"/>
  <c r="L18" i="11"/>
  <c r="I18" i="11"/>
  <c r="M18" i="11" s="1"/>
  <c r="F18" i="11"/>
  <c r="L17" i="11"/>
  <c r="I17" i="11"/>
  <c r="M17" i="11" s="1"/>
  <c r="F17" i="11"/>
  <c r="L16" i="11"/>
  <c r="I16" i="11"/>
  <c r="M16" i="11" s="1"/>
  <c r="F16" i="11"/>
  <c r="L15" i="11"/>
  <c r="I15" i="11"/>
  <c r="M15" i="11" s="1"/>
  <c r="F15" i="11"/>
  <c r="L14" i="11"/>
  <c r="I14" i="11"/>
  <c r="M14" i="11" s="1"/>
  <c r="F14" i="11"/>
  <c r="L13" i="11"/>
  <c r="I13" i="11"/>
  <c r="M13" i="11" s="1"/>
  <c r="F13" i="11"/>
  <c r="L12" i="11"/>
  <c r="I12" i="11"/>
  <c r="M12" i="11" s="1"/>
  <c r="F12" i="11"/>
  <c r="L11" i="11"/>
  <c r="I11" i="11"/>
  <c r="M11" i="11" s="1"/>
  <c r="F11" i="11"/>
  <c r="L10" i="11"/>
  <c r="I10" i="11"/>
  <c r="M10" i="11" s="1"/>
  <c r="F10" i="11"/>
  <c r="L9" i="11"/>
  <c r="I9" i="11"/>
  <c r="M9" i="11" s="1"/>
  <c r="F9" i="11"/>
  <c r="L8" i="11"/>
  <c r="I8" i="11"/>
  <c r="M8" i="11" s="1"/>
  <c r="F8" i="11"/>
  <c r="L7" i="11"/>
  <c r="I7" i="11"/>
  <c r="M7" i="11" s="1"/>
  <c r="F7" i="11"/>
  <c r="L6" i="11"/>
  <c r="I6" i="11"/>
  <c r="M6" i="11" s="1"/>
  <c r="F6" i="11"/>
  <c r="L5" i="11"/>
  <c r="I5" i="11"/>
  <c r="M5" i="11" s="1"/>
  <c r="F5" i="11"/>
  <c r="L30" i="10"/>
  <c r="I30" i="10"/>
  <c r="M30" i="10" s="1"/>
  <c r="F30" i="10"/>
  <c r="L29" i="10"/>
  <c r="I29" i="10"/>
  <c r="M29" i="10" s="1"/>
  <c r="F29" i="10"/>
  <c r="L28" i="10"/>
  <c r="I28" i="10"/>
  <c r="M28" i="10" s="1"/>
  <c r="F28" i="10"/>
  <c r="L27" i="10"/>
  <c r="I27" i="10"/>
  <c r="M27" i="10" s="1"/>
  <c r="F27" i="10"/>
  <c r="L26" i="10"/>
  <c r="I26" i="10"/>
  <c r="M26" i="10" s="1"/>
  <c r="F26" i="10"/>
  <c r="L25" i="10"/>
  <c r="I25" i="10"/>
  <c r="M25" i="10" s="1"/>
  <c r="F25" i="10"/>
  <c r="L24" i="10"/>
  <c r="I24" i="10"/>
  <c r="M24" i="10" s="1"/>
  <c r="F24" i="10"/>
  <c r="L23" i="10"/>
  <c r="I23" i="10"/>
  <c r="M23" i="10" s="1"/>
  <c r="F23" i="10"/>
  <c r="L22" i="10"/>
  <c r="I22" i="10"/>
  <c r="M22" i="10" s="1"/>
  <c r="F22" i="10"/>
  <c r="L21" i="10"/>
  <c r="I21" i="10"/>
  <c r="M21" i="10" s="1"/>
  <c r="F21" i="10"/>
  <c r="L20" i="10"/>
  <c r="I20" i="10"/>
  <c r="M20" i="10" s="1"/>
  <c r="F20" i="10"/>
  <c r="L19" i="10"/>
  <c r="I19" i="10"/>
  <c r="M19" i="10" s="1"/>
  <c r="F19" i="10"/>
  <c r="L18" i="10"/>
  <c r="I18" i="10"/>
  <c r="M18" i="10" s="1"/>
  <c r="F18" i="10"/>
  <c r="L17" i="10"/>
  <c r="I17" i="10"/>
  <c r="M17" i="10" s="1"/>
  <c r="F17" i="10"/>
  <c r="L16" i="10"/>
  <c r="I16" i="10"/>
  <c r="M16" i="10" s="1"/>
  <c r="F16" i="10"/>
  <c r="L15" i="10"/>
  <c r="I15" i="10"/>
  <c r="M15" i="10" s="1"/>
  <c r="F15" i="10"/>
  <c r="L14" i="10"/>
  <c r="I14" i="10"/>
  <c r="M14" i="10" s="1"/>
  <c r="F14" i="10"/>
  <c r="L13" i="10"/>
  <c r="I13" i="10"/>
  <c r="M13" i="10" s="1"/>
  <c r="F13" i="10"/>
  <c r="L12" i="10"/>
  <c r="I12" i="10"/>
  <c r="M12" i="10" s="1"/>
  <c r="F12" i="10"/>
  <c r="L11" i="10"/>
  <c r="I11" i="10"/>
  <c r="M11" i="10" s="1"/>
  <c r="F11" i="10"/>
  <c r="L10" i="10"/>
  <c r="I10" i="10"/>
  <c r="M10" i="10" s="1"/>
  <c r="F10" i="10"/>
  <c r="L9" i="10"/>
  <c r="I9" i="10"/>
  <c r="M9" i="10" s="1"/>
  <c r="F9" i="10"/>
  <c r="L8" i="10"/>
  <c r="I8" i="10"/>
  <c r="M8" i="10" s="1"/>
  <c r="F8" i="10"/>
  <c r="L7" i="10"/>
  <c r="I7" i="10"/>
  <c r="M7" i="10" s="1"/>
  <c r="F7" i="10"/>
  <c r="L6" i="10"/>
  <c r="I6" i="10"/>
  <c r="F6" i="10"/>
  <c r="F18" i="9"/>
  <c r="F19" i="9"/>
  <c r="F20" i="9"/>
  <c r="F21" i="9"/>
  <c r="F22" i="9"/>
  <c r="F23" i="9"/>
  <c r="F24" i="9"/>
  <c r="F25" i="9"/>
  <c r="F26" i="9"/>
  <c r="F27" i="9"/>
  <c r="F28" i="9"/>
  <c r="F29" i="9"/>
  <c r="I18" i="9"/>
  <c r="M18" i="9" s="1"/>
  <c r="N18" i="9" s="1"/>
  <c r="I19" i="9"/>
  <c r="I21" i="9"/>
  <c r="M21" i="9" s="1"/>
  <c r="I26" i="9"/>
  <c r="M26" i="9" s="1"/>
  <c r="N26" i="9" s="1"/>
  <c r="I27" i="9"/>
  <c r="I29" i="9"/>
  <c r="I20" i="9"/>
  <c r="M20" i="9" s="1"/>
  <c r="I22" i="9"/>
  <c r="M22" i="9" s="1"/>
  <c r="N22" i="9" s="1"/>
  <c r="I23" i="9"/>
  <c r="M23" i="9" s="1"/>
  <c r="I24" i="9"/>
  <c r="M24" i="9" s="1"/>
  <c r="I25" i="9"/>
  <c r="M25" i="9" s="1"/>
  <c r="N25" i="9" s="1"/>
  <c r="I28" i="9"/>
  <c r="M28" i="9" s="1"/>
  <c r="F5" i="9"/>
  <c r="I5" i="9"/>
  <c r="F6" i="9"/>
  <c r="I6" i="9"/>
  <c r="M6" i="9" s="1"/>
  <c r="F7" i="9"/>
  <c r="I7" i="9"/>
  <c r="M7" i="9" s="1"/>
  <c r="F8" i="9"/>
  <c r="I8" i="9"/>
  <c r="M8" i="9" s="1"/>
  <c r="F9" i="9"/>
  <c r="I9" i="9"/>
  <c r="M9" i="9" s="1"/>
  <c r="N9" i="9" s="1"/>
  <c r="F10" i="9"/>
  <c r="I10" i="9"/>
  <c r="M10" i="9" s="1"/>
  <c r="N10" i="9" s="1"/>
  <c r="F11" i="9"/>
  <c r="I11" i="9"/>
  <c r="M11" i="9" s="1"/>
  <c r="F12" i="9"/>
  <c r="I12" i="9"/>
  <c r="M12" i="9" s="1"/>
  <c r="F13" i="9"/>
  <c r="I13" i="9"/>
  <c r="F14" i="9"/>
  <c r="I14" i="9"/>
  <c r="M14" i="9" s="1"/>
  <c r="F15" i="9"/>
  <c r="I15" i="9"/>
  <c r="M15" i="9" s="1"/>
  <c r="F16" i="9"/>
  <c r="I16" i="9"/>
  <c r="F17" i="9"/>
  <c r="I17" i="9"/>
  <c r="L30" i="11" l="1"/>
  <c r="L31" i="10"/>
  <c r="N24" i="9"/>
  <c r="D46" i="3" s="1"/>
  <c r="N8" i="9"/>
  <c r="N12" i="9"/>
  <c r="M19" i="9"/>
  <c r="N21" i="9" s="1"/>
  <c r="M13" i="9"/>
  <c r="M29" i="9"/>
  <c r="M27" i="9"/>
  <c r="L30" i="9"/>
  <c r="M17" i="9"/>
  <c r="D26" i="3"/>
  <c r="M16" i="9"/>
  <c r="M6" i="10"/>
  <c r="N6" i="10" s="1"/>
  <c r="D47" i="3" s="1"/>
  <c r="N30" i="11"/>
  <c r="D11" i="3" s="1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E5" i="8"/>
  <c r="H5" i="8" s="1"/>
  <c r="E6" i="8"/>
  <c r="H6" i="8" s="1"/>
  <c r="E7" i="8"/>
  <c r="H7" i="8" s="1"/>
  <c r="E8" i="8"/>
  <c r="H8" i="8" s="1"/>
  <c r="E9" i="8"/>
  <c r="H9" i="8" s="1"/>
  <c r="E10" i="8"/>
  <c r="H10" i="8" s="1"/>
  <c r="E11" i="8"/>
  <c r="H11" i="8" s="1"/>
  <c r="E12" i="8"/>
  <c r="H12" i="8" s="1"/>
  <c r="E13" i="8"/>
  <c r="H13" i="8" s="1"/>
  <c r="E14" i="8"/>
  <c r="H14" i="8" s="1"/>
  <c r="E15" i="8"/>
  <c r="H15" i="8" s="1"/>
  <c r="E16" i="8"/>
  <c r="H16" i="8" s="1"/>
  <c r="E17" i="8"/>
  <c r="H17" i="8" s="1"/>
  <c r="E18" i="8"/>
  <c r="H18" i="8" s="1"/>
  <c r="E19" i="8"/>
  <c r="H19" i="8" s="1"/>
  <c r="E20" i="8"/>
  <c r="H20" i="8" s="1"/>
  <c r="E21" i="8"/>
  <c r="H21" i="8" s="1"/>
  <c r="E22" i="8"/>
  <c r="H22" i="8" s="1"/>
  <c r="E23" i="8"/>
  <c r="H23" i="8" s="1"/>
  <c r="E24" i="8"/>
  <c r="H24" i="8" s="1"/>
  <c r="E25" i="8"/>
  <c r="H25" i="8" s="1"/>
  <c r="E26" i="8"/>
  <c r="H26" i="8" s="1"/>
  <c r="E27" i="8"/>
  <c r="H27" i="8" s="1"/>
  <c r="E28" i="8"/>
  <c r="H28" i="8" s="1"/>
  <c r="E10" i="7"/>
  <c r="D28" i="3" l="1"/>
  <c r="E6" i="4" s="1"/>
  <c r="N17" i="9"/>
  <c r="N29" i="9"/>
  <c r="N16" i="9"/>
  <c r="D48" i="3"/>
  <c r="N31" i="10"/>
  <c r="D10" i="3" s="1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D44" i="3" l="1"/>
  <c r="N30" i="9"/>
  <c r="D33" i="3" s="1"/>
  <c r="D45" i="3"/>
  <c r="D27" i="3"/>
  <c r="J25" i="6"/>
  <c r="J17" i="6"/>
  <c r="J9" i="6"/>
  <c r="J24" i="6"/>
  <c r="J16" i="6"/>
  <c r="J8" i="6"/>
  <c r="J21" i="6"/>
  <c r="J13" i="6"/>
  <c r="J5" i="6"/>
  <c r="J20" i="6"/>
  <c r="J23" i="6"/>
  <c r="J15" i="6"/>
  <c r="J7" i="6"/>
  <c r="J22" i="6"/>
  <c r="J14" i="6"/>
  <c r="J6" i="6"/>
  <c r="J12" i="6"/>
  <c r="J19" i="6"/>
  <c r="J11" i="6"/>
  <c r="J26" i="6"/>
  <c r="J18" i="6"/>
  <c r="J10" i="6"/>
  <c r="D9" i="3" l="1"/>
  <c r="D17" i="3" s="1"/>
  <c r="E5" i="4" s="1"/>
  <c r="J27" i="6"/>
  <c r="E12" i="4" s="1"/>
  <c r="E11" i="4" s="1"/>
  <c r="G30" i="2"/>
  <c r="G31" i="2" s="1"/>
  <c r="G20" i="2"/>
  <c r="G13" i="2"/>
  <c r="G6" i="2"/>
  <c r="E4" i="4" l="1"/>
  <c r="E8" i="4" s="1"/>
  <c r="E9" i="4" s="1"/>
  <c r="E15" i="4" l="1"/>
  <c r="E21" i="4" s="1"/>
  <c r="E23" i="4" s="1"/>
  <c r="E25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tc={B0868505-CCCD-4D63-AE3C-3E860ADA6DE9}</author>
    <author>tc={C0D6DA4E-9A4A-48AA-826C-1C6A7DE78CCC}</author>
    <author>tc={1F9D2AF9-91E1-40C7-9D32-AFCC7BAF4396}</author>
  </authors>
  <commentList>
    <comment ref="C10" authorId="0" shapeId="0" xr:uid="{B0868505-CCCD-4D63-AE3C-3E860ADA6DE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Colocar descrição da despesa na coluna da observação</t>
      </text>
    </comment>
    <comment ref="C18" authorId="1" shapeId="0" xr:uid="{C0D6DA4E-9A4A-48AA-826C-1C6A7DE78CCC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Colocar descrição da despesa na coluna da observação</t>
      </text>
    </comment>
    <comment ref="C26" authorId="2" shapeId="0" xr:uid="{1F9D2AF9-91E1-40C7-9D32-AFCC7BAF439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Colocar descrição da despesa na coluna da observação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tc={98924C7D-D39D-4EFD-8CA2-A293D7D2611C}</author>
  </authors>
  <commentList>
    <comment ref="C8" authorId="0" shapeId="0" xr:uid="{98924C7D-D39D-4EFD-8CA2-A293D7D2611C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Imposto considerado de 15%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<sst xmlns="http://schemas.openxmlformats.org/spreadsheetml/2006/main" count="443" uniqueCount="154">
  <si>
    <t>Manutenção de Equipamentos</t>
  </si>
  <si>
    <t>Impostos</t>
  </si>
  <si>
    <t>Limpeza</t>
  </si>
  <si>
    <t>Aluguel Loja</t>
  </si>
  <si>
    <t>Seguros</t>
  </si>
  <si>
    <t>Outros</t>
  </si>
  <si>
    <t>Receita Líquida</t>
  </si>
  <si>
    <t>Investimentos</t>
  </si>
  <si>
    <t>Salários</t>
  </si>
  <si>
    <t>Bonificações</t>
  </si>
  <si>
    <t>Vales (Refeição, Transporte)</t>
  </si>
  <si>
    <t>Informática</t>
  </si>
  <si>
    <t>Serviços Terceirizados</t>
  </si>
  <si>
    <t>Escritório Contábil</t>
  </si>
  <si>
    <t>Escritório Advocacia</t>
  </si>
  <si>
    <t>Entregas</t>
  </si>
  <si>
    <t>Marketing</t>
  </si>
  <si>
    <t>Arroz</t>
  </si>
  <si>
    <t>Feijão</t>
  </si>
  <si>
    <t>Tomate</t>
  </si>
  <si>
    <t>Alface</t>
  </si>
  <si>
    <t>Carne</t>
  </si>
  <si>
    <t>Frango</t>
  </si>
  <si>
    <t>Peixe</t>
  </si>
  <si>
    <t>Queijo</t>
  </si>
  <si>
    <t>Vinho</t>
  </si>
  <si>
    <t>Suco</t>
  </si>
  <si>
    <t>Cenoura</t>
  </si>
  <si>
    <t>Vagem</t>
  </si>
  <si>
    <t>Amendoim</t>
  </si>
  <si>
    <t>Cerveja</t>
  </si>
  <si>
    <t>Vodka</t>
  </si>
  <si>
    <t>Couve</t>
  </si>
  <si>
    <t>Caixa de Fósforo</t>
  </si>
  <si>
    <t>Bala</t>
  </si>
  <si>
    <t>Chocolate</t>
  </si>
  <si>
    <t>Cigarro</t>
  </si>
  <si>
    <t>Barra de Cereal</t>
  </si>
  <si>
    <t>MENU CONTROLE MERCADO</t>
  </si>
  <si>
    <t>Despesas</t>
  </si>
  <si>
    <t>Despesas de Funcionamento</t>
  </si>
  <si>
    <t>Itens Despesa</t>
  </si>
  <si>
    <t>Data</t>
  </si>
  <si>
    <t xml:space="preserve">Observação </t>
  </si>
  <si>
    <t>Valor Intermediário</t>
  </si>
  <si>
    <t>Valor Final</t>
  </si>
  <si>
    <t>Água</t>
  </si>
  <si>
    <t>Energia</t>
  </si>
  <si>
    <t>Gás</t>
  </si>
  <si>
    <t>Telefone</t>
  </si>
  <si>
    <t>Funcionários</t>
  </si>
  <si>
    <t xml:space="preserve">Despesas Funcionamento </t>
  </si>
  <si>
    <t>Férias, licença maternidade</t>
  </si>
  <si>
    <t xml:space="preserve"> </t>
  </si>
  <si>
    <t>Total</t>
  </si>
  <si>
    <t>Compras de Mercadorias</t>
  </si>
  <si>
    <t>Fornecedor</t>
  </si>
  <si>
    <t>Mercadoria</t>
  </si>
  <si>
    <t>Unidade de Medida</t>
  </si>
  <si>
    <t>Preço Unitário</t>
  </si>
  <si>
    <t>Desconto</t>
  </si>
  <si>
    <t>Valor Pago</t>
  </si>
  <si>
    <t>Quantidade</t>
  </si>
  <si>
    <t>Regiões de Entrega</t>
  </si>
  <si>
    <t>Preço</t>
  </si>
  <si>
    <t>Produtos</t>
  </si>
  <si>
    <t>Preço de Compra Unitário</t>
  </si>
  <si>
    <t>Preço de Venda Unitário</t>
  </si>
  <si>
    <t>Medida</t>
  </si>
  <si>
    <t>Centro</t>
  </si>
  <si>
    <t>Unidade</t>
  </si>
  <si>
    <t>Loja</t>
  </si>
  <si>
    <t>Pacote</t>
  </si>
  <si>
    <t>Zona Norte</t>
  </si>
  <si>
    <t>Kg</t>
  </si>
  <si>
    <t>Zona Oeste</t>
  </si>
  <si>
    <t>Zona Sul</t>
  </si>
  <si>
    <t>Leite</t>
  </si>
  <si>
    <t>Litro</t>
  </si>
  <si>
    <t>Lata</t>
  </si>
  <si>
    <t>Barra</t>
  </si>
  <si>
    <t>Maço</t>
  </si>
  <si>
    <t>Pão de Forma</t>
  </si>
  <si>
    <t>Refrigerante</t>
  </si>
  <si>
    <t>Garrafa</t>
  </si>
  <si>
    <t>Fornecedor de Verduras</t>
  </si>
  <si>
    <t>Fornecedor de Grãos e Sementes</t>
  </si>
  <si>
    <t>Fornecedor de Bebidas</t>
  </si>
  <si>
    <t>Fornecedor de Cigarro</t>
  </si>
  <si>
    <t>Fornecedor de Doces</t>
  </si>
  <si>
    <t>Padaria</t>
  </si>
  <si>
    <t>Fornecedor de Frango</t>
  </si>
  <si>
    <t>Fornecedor de Peixe</t>
  </si>
  <si>
    <t>Fornecedor de Legumes</t>
  </si>
  <si>
    <t>Fornecedor de Carne</t>
  </si>
  <si>
    <t>Total Compra de Mercadorias</t>
  </si>
  <si>
    <t>Total Despesas de Funcionamento</t>
  </si>
  <si>
    <t>Total de Despesas</t>
  </si>
  <si>
    <t>Descrição</t>
  </si>
  <si>
    <t>Valor</t>
  </si>
  <si>
    <t>Investimento Inicial</t>
  </si>
  <si>
    <t>Equipamentos</t>
  </si>
  <si>
    <t>Estrutura</t>
  </si>
  <si>
    <t>Documentação, sistema de informação, estrutura inicial, sistema de refrigeração, equipamentos</t>
  </si>
  <si>
    <t>Controle de Estoque</t>
  </si>
  <si>
    <t>Produto</t>
  </si>
  <si>
    <t>Data da Última Compra</t>
  </si>
  <si>
    <t>Quantidade Comprada</t>
  </si>
  <si>
    <t>Quantidade Atual</t>
  </si>
  <si>
    <t>Situação</t>
  </si>
  <si>
    <t>Quantidade Inicial</t>
  </si>
  <si>
    <t>Id da Venda</t>
  </si>
  <si>
    <t>Subtotal</t>
  </si>
  <si>
    <t>Entrega</t>
  </si>
  <si>
    <t>Valor de Entrega</t>
  </si>
  <si>
    <t>Total para o Cliente</t>
  </si>
  <si>
    <t>Vendas Semana 1</t>
  </si>
  <si>
    <t>Vendas Semana 2</t>
  </si>
  <si>
    <t>Vendas Semana 3</t>
  </si>
  <si>
    <t>Ticket Médio</t>
  </si>
  <si>
    <t>Quantidade de Venda por Região</t>
  </si>
  <si>
    <t>Total de Vendas Semana 1</t>
  </si>
  <si>
    <t>Total de Vendas Semana 2</t>
  </si>
  <si>
    <t>Total de Vendas Semana 3</t>
  </si>
  <si>
    <t>Total de Vendas Semana 4</t>
  </si>
  <si>
    <t>Total de Vendas Semana 5</t>
  </si>
  <si>
    <t>Julho</t>
  </si>
  <si>
    <t>Vendas por Entrega (%)</t>
  </si>
  <si>
    <t>Vendas por Entrega (R$)</t>
  </si>
  <si>
    <t>Receitas Entregas (R$)</t>
  </si>
  <si>
    <t>Número de Vendas</t>
  </si>
  <si>
    <t>Total Receitas</t>
  </si>
  <si>
    <t>Imposto Sobre Receita</t>
  </si>
  <si>
    <t>Total Despesas</t>
  </si>
  <si>
    <t>Resultado Bruto</t>
  </si>
  <si>
    <t>Investimento</t>
  </si>
  <si>
    <t>Depreciação e Amortização</t>
  </si>
  <si>
    <t>Resultado Antes do Imposto</t>
  </si>
  <si>
    <t>Imposto</t>
  </si>
  <si>
    <t>Resultado Líquido</t>
  </si>
  <si>
    <t>Receita Mercadorias</t>
  </si>
  <si>
    <t>Receita das Entregas</t>
  </si>
  <si>
    <t>Despesas Mercadorias</t>
  </si>
  <si>
    <t>Despesas Funcionamento</t>
  </si>
  <si>
    <t>Vendas</t>
  </si>
  <si>
    <t>Quantidade Vendida</t>
  </si>
  <si>
    <t>Resultados</t>
  </si>
  <si>
    <t>Rótulos de Linha</t>
  </si>
  <si>
    <t>Total Geral</t>
  </si>
  <si>
    <t>Soma de Total</t>
  </si>
  <si>
    <t>Soma de Valor de Entrega</t>
  </si>
  <si>
    <t>(vazio)</t>
  </si>
  <si>
    <t>Soma de Quantidade</t>
  </si>
  <si>
    <t>Soma de Id da Venda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</si>
</sst>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4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4"/>
      <color theme="4"/>
      <name val="Calibri"/>
      <family val="2"/>
      <scheme val="minor"/>
    </font>
    <font>
      <sz val="14"/>
      <color theme="9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8"/>
      <color theme="4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indexed="64"/>
      </patternFill>
    </fill>
  </fills>
  <borders count="33">
    <border>
      <left/>
      <right/>
      <top/>
      <bottom/>
      <diagonal/>
    </border>
    <border>
      <left style="thick">
        <color theme="4" tint="-0.499984740745262"/>
      </left>
      <right/>
      <top style="thick">
        <color theme="4" tint="-0.499984740745262"/>
      </top>
      <bottom style="thick">
        <color theme="4" tint="-0.499984740745262"/>
      </bottom>
      <diagonal/>
    </border>
    <border>
      <left/>
      <right/>
      <top style="thick">
        <color theme="4" tint="-0.499984740745262"/>
      </top>
      <bottom style="thick">
        <color theme="4" tint="-0.499984740745262"/>
      </bottom>
      <diagonal/>
    </border>
    <border>
      <left/>
      <right style="thick">
        <color theme="4" tint="-0.499984740745262"/>
      </right>
      <top style="thick">
        <color theme="4" tint="-0.499984740745262"/>
      </top>
      <bottom style="thick">
        <color theme="4" tint="-0.499984740745262"/>
      </bottom>
      <diagonal/>
    </border>
    <border>
      <left style="thick">
        <color rgb="FF002060"/>
      </left>
      <right/>
      <top style="thick">
        <color theme="4" tint="-0.499984740745262"/>
      </top>
      <bottom/>
      <diagonal/>
    </border>
    <border>
      <left/>
      <right/>
      <top style="thick">
        <color theme="4" tint="-0.499984740745262"/>
      </top>
      <bottom/>
      <diagonal/>
    </border>
    <border>
      <left/>
      <right style="thick">
        <color rgb="FF002060"/>
      </right>
      <top style="thick">
        <color theme="4" tint="-0.499984740745262"/>
      </top>
      <bottom/>
      <diagonal/>
    </border>
    <border>
      <left style="thick">
        <color rgb="FF002060"/>
      </left>
      <right/>
      <top/>
      <bottom/>
      <diagonal/>
    </border>
    <border>
      <left/>
      <right style="thick">
        <color rgb="FF002060"/>
      </right>
      <top/>
      <bottom/>
      <diagonal/>
    </border>
    <border>
      <left style="thick">
        <color rgb="FF002060"/>
      </left>
      <right/>
      <top/>
      <bottom style="thick">
        <color rgb="FF002060"/>
      </bottom>
      <diagonal/>
    </border>
    <border>
      <left/>
      <right/>
      <top/>
      <bottom style="thick">
        <color rgb="FF002060"/>
      </bottom>
      <diagonal/>
    </border>
    <border>
      <left/>
      <right style="thick">
        <color rgb="FF002060"/>
      </right>
      <top/>
      <bottom style="thick">
        <color rgb="FF002060"/>
      </bottom>
      <diagonal/>
    </border>
    <border>
      <left/>
      <right/>
      <top style="double">
        <color theme="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double">
        <color theme="4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double">
        <color theme="4"/>
      </top>
      <bottom style="thin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ck">
        <color theme="4"/>
      </left>
      <right/>
      <top style="thick">
        <color theme="4"/>
      </top>
      <bottom/>
      <diagonal/>
    </border>
    <border>
      <left/>
      <right/>
      <top style="thick">
        <color theme="4"/>
      </top>
      <bottom/>
      <diagonal/>
    </border>
    <border>
      <left/>
      <right style="thick">
        <color theme="4"/>
      </right>
      <top style="thick">
        <color theme="4"/>
      </top>
      <bottom/>
      <diagonal/>
    </border>
    <border>
      <left style="thick">
        <color theme="4"/>
      </left>
      <right/>
      <top/>
      <bottom/>
      <diagonal/>
    </border>
    <border>
      <left/>
      <right style="thick">
        <color theme="4"/>
      </right>
      <top/>
      <bottom/>
      <diagonal/>
    </border>
    <border>
      <left style="thick">
        <color theme="4"/>
      </left>
      <right/>
      <top/>
      <bottom style="thick">
        <color theme="4"/>
      </bottom>
      <diagonal/>
    </border>
    <border>
      <left/>
      <right style="thick">
        <color theme="4"/>
      </right>
      <top/>
      <bottom style="thick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ck">
        <color theme="9"/>
      </top>
      <bottom style="thick">
        <color theme="9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73">
    <xf numFmtId="0" fontId="0" fillId="0" borderId="0" xfId="0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3" fillId="2" borderId="0" xfId="0" applyFont="1" applyFill="1" applyAlignment="1">
      <alignment horizontal="left" vertical="center"/>
    </xf>
    <xf numFmtId="44" fontId="0" fillId="0" borderId="0" xfId="1" applyFont="1"/>
    <xf numFmtId="44" fontId="0" fillId="0" borderId="0" xfId="0" applyNumberFormat="1"/>
    <xf numFmtId="0" fontId="2" fillId="0" borderId="12" xfId="0" applyFont="1" applyBorder="1"/>
    <xf numFmtId="0" fontId="2" fillId="0" borderId="14" xfId="0" applyFont="1" applyBorder="1"/>
    <xf numFmtId="9" fontId="0" fillId="0" borderId="0" xfId="2" applyFont="1"/>
    <xf numFmtId="14" fontId="0" fillId="0" borderId="0" xfId="0" applyNumberFormat="1"/>
    <xf numFmtId="0" fontId="2" fillId="0" borderId="0" xfId="0" applyFont="1"/>
    <xf numFmtId="0" fontId="0" fillId="0" borderId="0" xfId="1" applyNumberFormat="1" applyFont="1"/>
    <xf numFmtId="14" fontId="0" fillId="0" borderId="0" xfId="0" applyNumberFormat="1" applyAlignment="1">
      <alignment horizontal="left"/>
    </xf>
    <xf numFmtId="9" fontId="0" fillId="0" borderId="0" xfId="0" applyNumberFormat="1"/>
    <xf numFmtId="0" fontId="0" fillId="0" borderId="0" xfId="0" applyAlignment="1">
      <alignment horizontal="left"/>
    </xf>
    <xf numFmtId="0" fontId="2" fillId="0" borderId="12" xfId="0" applyNumberFormat="1" applyFont="1" applyBorder="1"/>
    <xf numFmtId="44" fontId="2" fillId="0" borderId="13" xfId="0" applyNumberFormat="1" applyFont="1" applyBorder="1"/>
    <xf numFmtId="0" fontId="0" fillId="0" borderId="0" xfId="0" applyAlignment="1">
      <alignment wrapText="1"/>
    </xf>
    <xf numFmtId="0" fontId="0" fillId="0" borderId="0" xfId="0"/>
    <xf numFmtId="14" fontId="0" fillId="0" borderId="0" xfId="0" applyNumberFormat="1"/>
    <xf numFmtId="0" fontId="0" fillId="0" borderId="0" xfId="0" applyNumberFormat="1"/>
    <xf numFmtId="0" fontId="3" fillId="3" borderId="0" xfId="0" applyFont="1" applyFill="1" applyAlignment="1">
      <alignment horizontal="left" vertical="center"/>
    </xf>
    <xf numFmtId="164" fontId="0" fillId="0" borderId="0" xfId="0" applyNumberFormat="1"/>
    <xf numFmtId="14" fontId="0" fillId="0" borderId="16" xfId="0" applyNumberFormat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23" xfId="0" applyBorder="1"/>
    <xf numFmtId="22" fontId="0" fillId="0" borderId="0" xfId="0" applyNumberFormat="1"/>
    <xf numFmtId="0" fontId="6" fillId="0" borderId="24" xfId="0" applyFont="1" applyBorder="1"/>
    <xf numFmtId="164" fontId="6" fillId="0" borderId="24" xfId="0" applyNumberFormat="1" applyFont="1" applyBorder="1"/>
    <xf numFmtId="0" fontId="6" fillId="0" borderId="25" xfId="0" applyFont="1" applyBorder="1"/>
    <xf numFmtId="164" fontId="6" fillId="0" borderId="25" xfId="0" applyNumberFormat="1" applyFont="1" applyBorder="1"/>
    <xf numFmtId="0" fontId="6" fillId="0" borderId="26" xfId="0" applyFont="1" applyBorder="1"/>
    <xf numFmtId="164" fontId="6" fillId="0" borderId="26" xfId="0" applyNumberFormat="1" applyFont="1" applyBorder="1"/>
    <xf numFmtId="0" fontId="6" fillId="0" borderId="0" xfId="0" applyFont="1" applyBorder="1"/>
    <xf numFmtId="0" fontId="7" fillId="0" borderId="0" xfId="0" applyFont="1" applyBorder="1"/>
    <xf numFmtId="164" fontId="7" fillId="0" borderId="0" xfId="0" applyNumberFormat="1" applyFont="1" applyBorder="1"/>
    <xf numFmtId="0" fontId="5" fillId="0" borderId="15" xfId="0" applyNumberFormat="1" applyFont="1" applyBorder="1" applyAlignment="1">
      <alignment horizontal="right" vertical="center"/>
    </xf>
    <xf numFmtId="9" fontId="6" fillId="0" borderId="24" xfId="2" applyFont="1" applyBorder="1"/>
    <xf numFmtId="44" fontId="6" fillId="0" borderId="24" xfId="1" applyFont="1" applyBorder="1"/>
    <xf numFmtId="44" fontId="6" fillId="0" borderId="26" xfId="1" applyFont="1" applyBorder="1"/>
    <xf numFmtId="44" fontId="2" fillId="0" borderId="0" xfId="1" applyFont="1"/>
    <xf numFmtId="0" fontId="2" fillId="0" borderId="27" xfId="0" applyFont="1" applyBorder="1"/>
    <xf numFmtId="44" fontId="2" fillId="0" borderId="27" xfId="1" applyFont="1" applyBorder="1"/>
    <xf numFmtId="0" fontId="2" fillId="0" borderId="28" xfId="0" applyFont="1" applyBorder="1"/>
    <xf numFmtId="44" fontId="2" fillId="0" borderId="28" xfId="1" applyFont="1" applyBorder="1"/>
    <xf numFmtId="0" fontId="2" fillId="0" borderId="29" xfId="0" applyFont="1" applyBorder="1"/>
    <xf numFmtId="44" fontId="2" fillId="0" borderId="29" xfId="1" applyFont="1" applyBorder="1"/>
    <xf numFmtId="0" fontId="2" fillId="0" borderId="30" xfId="0" applyFont="1" applyBorder="1"/>
    <xf numFmtId="44" fontId="2" fillId="0" borderId="30" xfId="1" applyFont="1" applyBorder="1"/>
    <xf numFmtId="0" fontId="2" fillId="0" borderId="31" xfId="0" applyFont="1" applyBorder="1"/>
    <xf numFmtId="44" fontId="2" fillId="0" borderId="31" xfId="1" applyFont="1" applyBorder="1"/>
    <xf numFmtId="44" fontId="0" fillId="0" borderId="0" xfId="1" applyNumberFormat="1" applyFont="1"/>
    <xf numFmtId="0" fontId="8" fillId="0" borderId="32" xfId="0" applyFont="1" applyBorder="1"/>
    <xf numFmtId="0" fontId="9" fillId="0" borderId="32" xfId="0" applyFont="1" applyBorder="1"/>
    <xf numFmtId="0" fontId="0" fillId="0" borderId="0" xfId="0" pivotButton="1"/>
    <xf numFmtId="0" fontId="0" fillId="0" borderId="0" xfId="0" applyAlignment="1">
      <alignment horizontal="left" indent="1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0" fillId="0" borderId="0" xfId="0" applyAlignment="1">
      <alignment horizontal="left" indent="2"/>
    </xf>
  </cellXfs>
  <cellStyles count="5">
    <cellStyle name="Moeda" xfId="1" builtinId="4"/>
    <cellStyle name="Moeda 2" xfId="3" xr:uid="{DB287CDE-ECFB-4517-A4CF-1D72340926BC}"/>
    <cellStyle name="Moeda 3" xfId="4" xr:uid="{E0001253-9422-41C5-997D-2656D05E503B}"/>
    <cellStyle name="Normal" xfId="0" builtinId="0"/>
    <cellStyle name="Porcentagem" xfId="2" builtinId="5"/>
  </cellStyles>
  <dxfs count="79">
    <dxf>
      <numFmt numFmtId="164" formatCode="&quot;R$&quot;\ #,##0.00"/>
    </dxf>
    <dxf>
      <numFmt numFmtId="164" formatCode="&quot;R$&quot;\ #,##0.0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  <dxf>
      <numFmt numFmtId="164" formatCode="&quot;R$&quot;\ #,##0.00"/>
    </dxf>
    <dxf>
      <numFmt numFmtId="164" formatCode="&quot;R$&quot;\ #,##0.0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  <dxf>
      <numFmt numFmtId="164" formatCode="&quot;R$&quot;\ #,##0.00"/>
    </dxf>
    <dxf>
      <numFmt numFmtId="164" formatCode="&quot;R$&quot;\ #,##0.0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  <dxf>
      <numFmt numFmtId="164" formatCode="&quot;R$&quot;\ #,##0.00"/>
    </dxf>
    <dxf>
      <numFmt numFmtId="164" formatCode="&quot;R$&quot;\ #,##0.0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  <dxf>
      <numFmt numFmtId="164" formatCode="&quot;R$&quot;\ #,##0.00"/>
    </dxf>
    <dxf>
      <numFmt numFmtId="164" formatCode="&quot;R$&quot;\ #,##0.0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  <dxf>
      <font>
        <color rgb="FFFF0000"/>
      </font>
      <fill>
        <patternFill>
          <bgColor theme="5" tint="0.39994506668294322"/>
        </patternFill>
      </fill>
    </dxf>
    <dxf>
      <font>
        <color rgb="FF00B050"/>
      </font>
      <fill>
        <patternFill>
          <bgColor theme="9" tint="0.39994506668294322"/>
        </patternFill>
      </fill>
    </dxf>
    <dxf>
      <numFmt numFmtId="34" formatCode="_-&quot;R$&quot;\ * #,##0.00_-;\-&quot;R$&quot;\ * #,##0.00_-;_-&quot;R$&quot;\ * &quot;-&quot;??_-;_-@_-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ont>
        <color theme="0"/>
      </font>
      <fill>
        <patternFill>
          <bgColor rgb="FF00990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</dxfs>
  <tableStyles count="0" defaultTableStyle="TableStyleMedium2" defaultPivotStyle="PivotStyleLight16"/>
  <colors>
    <mruColors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Vendas!$C$9:$C$13</c:f>
              <c:strCache>
                <c:ptCount val="5"/>
                <c:pt idx="0">
                  <c:v>Total de Vendas Semana 1</c:v>
                </c:pt>
                <c:pt idx="1">
                  <c:v>Total de Vendas Semana 2</c:v>
                </c:pt>
                <c:pt idx="2">
                  <c:v>Total de Vendas Semana 3</c:v>
                </c:pt>
                <c:pt idx="3">
                  <c:v>Total de Vendas Semana 4</c:v>
                </c:pt>
                <c:pt idx="4">
                  <c:v>Total de Vendas Semana 5</c:v>
                </c:pt>
              </c:strCache>
            </c:strRef>
          </c:cat>
          <c:val>
            <c:numRef>
              <c:f>Vendas!$D$9:$D$13</c:f>
              <c:numCache>
                <c:formatCode>"R$"\ #,##0.00</c:formatCode>
                <c:ptCount val="5"/>
                <c:pt idx="0">
                  <c:v>647.91199999999992</c:v>
                </c:pt>
                <c:pt idx="1">
                  <c:v>62.9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D4-46E0-A4EC-F7A6B8615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599721872"/>
        <c:axId val="599723472"/>
      </c:barChart>
      <c:catAx>
        <c:axId val="59972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9723472"/>
        <c:crosses val="autoZero"/>
        <c:auto val="1"/>
        <c:lblAlgn val="ctr"/>
        <c:lblOffset val="100"/>
        <c:noMultiLvlLbl val="0"/>
      </c:catAx>
      <c:valAx>
        <c:axId val="599723472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972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pattFill prst="narVert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Vendas!$C$27:$C$28</c:f>
              <c:strCache>
                <c:ptCount val="2"/>
                <c:pt idx="0">
                  <c:v>Vendas por Entrega (R$)</c:v>
                </c:pt>
                <c:pt idx="1">
                  <c:v>Receitas Entregas (R$)</c:v>
                </c:pt>
              </c:strCache>
            </c:strRef>
          </c:cat>
          <c:val>
            <c:numRef>
              <c:f>Vendas!$D$27:$D$28</c:f>
              <c:numCache>
                <c:formatCode>_("R$"* #,##0.00_);_("R$"* \(#,##0.00\);_("R$"* "-"??_);_(@_)</c:formatCode>
                <c:ptCount val="2"/>
                <c:pt idx="0">
                  <c:v>377.642</c:v>
                </c:pt>
                <c:pt idx="1">
                  <c:v>40.5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45-4E5A-8EFD-51CE1DDB99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7"/>
        <c:overlap val="-48"/>
        <c:axId val="599726352"/>
        <c:axId val="599731152"/>
      </c:barChart>
      <c:catAx>
        <c:axId val="5997263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9731152"/>
        <c:crosses val="autoZero"/>
        <c:auto val="1"/>
        <c:lblAlgn val="ctr"/>
        <c:lblOffset val="100"/>
        <c:noMultiLvlLbl val="0"/>
      </c:catAx>
      <c:valAx>
        <c:axId val="599731152"/>
        <c:scaling>
          <c:orientation val="minMax"/>
        </c:scaling>
        <c:delete val="0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9726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859-4480-9B6A-D984C95E20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859-4480-9B6A-D984C95E20C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859-4480-9B6A-D984C95E20C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859-4480-9B6A-D984C95E20C6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B859-4480-9B6A-D984C95E20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Vendas!$C$44:$C$48</c:f>
              <c:strCache>
                <c:ptCount val="5"/>
                <c:pt idx="0">
                  <c:v>Loja</c:v>
                </c:pt>
                <c:pt idx="1">
                  <c:v>Centro</c:v>
                </c:pt>
                <c:pt idx="2">
                  <c:v>Zona Norte</c:v>
                </c:pt>
                <c:pt idx="3">
                  <c:v>Zona Oeste</c:v>
                </c:pt>
                <c:pt idx="4">
                  <c:v>Zona Sul</c:v>
                </c:pt>
              </c:strCache>
            </c:strRef>
          </c:cat>
          <c:val>
            <c:numRef>
              <c:f>Vendas!$D$44:$D$48</c:f>
              <c:numCache>
                <c:formatCode>General</c:formatCode>
                <c:ptCount val="5"/>
                <c:pt idx="0">
                  <c:v>7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DB-4F32-BF14-9A67B997316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Controle de Estoque'!A1"/><Relationship Id="rId2" Type="http://schemas.openxmlformats.org/officeDocument/2006/relationships/hyperlink" Target="#Investimentos!A1"/><Relationship Id="rId1" Type="http://schemas.openxmlformats.org/officeDocument/2006/relationships/hyperlink" Target="#'Despesas Fixas'!A1"/><Relationship Id="rId6" Type="http://schemas.openxmlformats.org/officeDocument/2006/relationships/hyperlink" Target="#'Compra Mercadorias'!A1"/><Relationship Id="rId5" Type="http://schemas.openxmlformats.org/officeDocument/2006/relationships/hyperlink" Target="#Vendas!A1"/><Relationship Id="rId4" Type="http://schemas.openxmlformats.org/officeDocument/2006/relationships/hyperlink" Target="#Resultado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Compra Mercadorias'!A1"/><Relationship Id="rId2" Type="http://schemas.openxmlformats.org/officeDocument/2006/relationships/hyperlink" Target="#Resultados!A1"/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Controle de Estoque'!A1"/><Relationship Id="rId2" Type="http://schemas.openxmlformats.org/officeDocument/2006/relationships/hyperlink" Target="#'Despesas Fixas'!A1"/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Compra Mercadorias'!A1"/><Relationship Id="rId2" Type="http://schemas.openxmlformats.org/officeDocument/2006/relationships/hyperlink" Target="#Resultados!A1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Controle de Estoque'!A1"/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Semana 2'!A1"/><Relationship Id="rId3" Type="http://schemas.openxmlformats.org/officeDocument/2006/relationships/chart" Target="../charts/chart3.xml"/><Relationship Id="rId7" Type="http://schemas.openxmlformats.org/officeDocument/2006/relationships/hyperlink" Target="#'Semana 1'!F53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Vendas!D55"/><Relationship Id="rId11" Type="http://schemas.openxmlformats.org/officeDocument/2006/relationships/hyperlink" Target="#'Semana 5'!A1"/><Relationship Id="rId5" Type="http://schemas.openxmlformats.org/officeDocument/2006/relationships/hyperlink" Target="#Resultados!A1"/><Relationship Id="rId10" Type="http://schemas.openxmlformats.org/officeDocument/2006/relationships/hyperlink" Target="#'Semana 4'!A1"/><Relationship Id="rId4" Type="http://schemas.openxmlformats.org/officeDocument/2006/relationships/hyperlink" Target="#Menu!A1"/><Relationship Id="rId9" Type="http://schemas.openxmlformats.org/officeDocument/2006/relationships/hyperlink" Target="#'Semana 3'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464820</xdr:colOff>
      <xdr:row>4</xdr:row>
      <xdr:rowOff>7620</xdr:rowOff>
    </xdr:from>
    <xdr:to>
      <xdr:col>5</xdr:col>
      <xdr:colOff>546420</xdr:colOff>
      <xdr:row>6</xdr:row>
      <xdr:rowOff>1860</xdr:rowOff>
    </xdr:to>
    <xdr:sp macro="[0]!DESPESAS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7F8E7D0-F24B-4A87-9D56-02D4E85C32EE}"/>
            </a:ext>
          </a:extLst>
        </xdr:cNvPr>
        <xdr:cNvSpPr/>
      </xdr:nvSpPr>
      <xdr:spPr>
        <a:xfrm>
          <a:off x="1074420" y="739140"/>
          <a:ext cx="2520000" cy="360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Despesas Fixas</a:t>
          </a:r>
        </a:p>
      </xdr:txBody>
    </xdr:sp>
    <xdr:clientData/>
  </xdr:twoCellAnchor>
  <xdr:twoCellAnchor>
    <xdr:from>
      <xdr:col>1</xdr:col>
      <xdr:colOff>464820</xdr:colOff>
      <xdr:row>12</xdr:row>
      <xdr:rowOff>160020</xdr:rowOff>
    </xdr:from>
    <xdr:to>
      <xdr:col>5</xdr:col>
      <xdr:colOff>546420</xdr:colOff>
      <xdr:row>14</xdr:row>
      <xdr:rowOff>154260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21A9EB4-8FE5-4FC8-B1B8-8A6A84875900}"/>
            </a:ext>
          </a:extLst>
        </xdr:cNvPr>
        <xdr:cNvSpPr/>
      </xdr:nvSpPr>
      <xdr:spPr>
        <a:xfrm>
          <a:off x="1074420" y="2354580"/>
          <a:ext cx="2520000" cy="360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Investimento</a:t>
          </a:r>
        </a:p>
      </xdr:txBody>
    </xdr:sp>
    <xdr:clientData/>
  </xdr:twoCellAnchor>
  <xdr:twoCellAnchor>
    <xdr:from>
      <xdr:col>7</xdr:col>
      <xdr:colOff>11430</xdr:colOff>
      <xdr:row>4</xdr:row>
      <xdr:rowOff>7620</xdr:rowOff>
    </xdr:from>
    <xdr:to>
      <xdr:col>11</xdr:col>
      <xdr:colOff>93030</xdr:colOff>
      <xdr:row>6</xdr:row>
      <xdr:rowOff>1860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AF45498-2A5F-4F85-B3D5-A5B9FD3C3F8A}"/>
            </a:ext>
          </a:extLst>
        </xdr:cNvPr>
        <xdr:cNvSpPr/>
      </xdr:nvSpPr>
      <xdr:spPr>
        <a:xfrm>
          <a:off x="4278630" y="739140"/>
          <a:ext cx="2520000" cy="360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Controle de Estoque</a:t>
          </a:r>
        </a:p>
      </xdr:txBody>
    </xdr:sp>
    <xdr:clientData/>
  </xdr:twoCellAnchor>
  <xdr:twoCellAnchor>
    <xdr:from>
      <xdr:col>7</xdr:col>
      <xdr:colOff>11430</xdr:colOff>
      <xdr:row>8</xdr:row>
      <xdr:rowOff>83820</xdr:rowOff>
    </xdr:from>
    <xdr:to>
      <xdr:col>11</xdr:col>
      <xdr:colOff>93030</xdr:colOff>
      <xdr:row>10</xdr:row>
      <xdr:rowOff>78060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22A074D-658D-425A-BE9B-705E8A703535}"/>
            </a:ext>
          </a:extLst>
        </xdr:cNvPr>
        <xdr:cNvSpPr/>
      </xdr:nvSpPr>
      <xdr:spPr>
        <a:xfrm>
          <a:off x="4278630" y="1546860"/>
          <a:ext cx="2520000" cy="360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Resultados</a:t>
          </a:r>
        </a:p>
      </xdr:txBody>
    </xdr:sp>
    <xdr:clientData/>
  </xdr:twoCellAnchor>
  <xdr:twoCellAnchor>
    <xdr:from>
      <xdr:col>7</xdr:col>
      <xdr:colOff>11430</xdr:colOff>
      <xdr:row>12</xdr:row>
      <xdr:rowOff>160020</xdr:rowOff>
    </xdr:from>
    <xdr:to>
      <xdr:col>11</xdr:col>
      <xdr:colOff>93030</xdr:colOff>
      <xdr:row>14</xdr:row>
      <xdr:rowOff>154260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D4948D1-3F63-4BCB-B553-C37DFEED8D21}"/>
            </a:ext>
          </a:extLst>
        </xdr:cNvPr>
        <xdr:cNvSpPr/>
      </xdr:nvSpPr>
      <xdr:spPr>
        <a:xfrm>
          <a:off x="4278630" y="2354580"/>
          <a:ext cx="2520000" cy="360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Vendas</a:t>
          </a:r>
        </a:p>
      </xdr:txBody>
    </xdr:sp>
    <xdr:clientData/>
  </xdr:twoCellAnchor>
  <xdr:twoCellAnchor>
    <xdr:from>
      <xdr:col>1</xdr:col>
      <xdr:colOff>464820</xdr:colOff>
      <xdr:row>8</xdr:row>
      <xdr:rowOff>83820</xdr:rowOff>
    </xdr:from>
    <xdr:to>
      <xdr:col>5</xdr:col>
      <xdr:colOff>546420</xdr:colOff>
      <xdr:row>10</xdr:row>
      <xdr:rowOff>78060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E3FCE9E-DC41-4CBE-8FAF-C28148937611}"/>
            </a:ext>
          </a:extLst>
        </xdr:cNvPr>
        <xdr:cNvSpPr/>
      </xdr:nvSpPr>
      <xdr:spPr>
        <a:xfrm>
          <a:off x="1074420" y="1546860"/>
          <a:ext cx="2520000" cy="360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Compras</a:t>
          </a:r>
          <a:r>
            <a:rPr lang="pt-BR" sz="1600" b="1" baseline="0"/>
            <a:t> de Mercadorias</a:t>
          </a:r>
          <a:endParaRPr lang="pt-BR" sz="16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213360</xdr:colOff>
      <xdr:row>1</xdr:row>
      <xdr:rowOff>57150</xdr:rowOff>
    </xdr:from>
    <xdr:to>
      <xdr:col>5</xdr:col>
      <xdr:colOff>1127760</xdr:colOff>
      <xdr:row>1</xdr:row>
      <xdr:rowOff>309150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2973ED-871F-4E30-BAEA-90D120EBE1CA}"/>
            </a:ext>
          </a:extLst>
        </xdr:cNvPr>
        <xdr:cNvSpPr/>
      </xdr:nvSpPr>
      <xdr:spPr>
        <a:xfrm>
          <a:off x="6461760" y="240030"/>
          <a:ext cx="914400" cy="2520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5</xdr:col>
      <xdr:colOff>1188720</xdr:colOff>
      <xdr:row>1</xdr:row>
      <xdr:rowOff>57150</xdr:rowOff>
    </xdr:from>
    <xdr:to>
      <xdr:col>6</xdr:col>
      <xdr:colOff>800100</xdr:colOff>
      <xdr:row>1</xdr:row>
      <xdr:rowOff>309150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1718EDD-4D99-4AD2-A078-DE68D5F556FD}"/>
            </a:ext>
          </a:extLst>
        </xdr:cNvPr>
        <xdr:cNvSpPr/>
      </xdr:nvSpPr>
      <xdr:spPr>
        <a:xfrm>
          <a:off x="7437120" y="240030"/>
          <a:ext cx="967740" cy="2520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RESULTADOS</a:t>
          </a:r>
        </a:p>
      </xdr:txBody>
    </xdr:sp>
    <xdr:clientData/>
  </xdr:twoCellAnchor>
  <xdr:twoCellAnchor>
    <xdr:from>
      <xdr:col>6</xdr:col>
      <xdr:colOff>861060</xdr:colOff>
      <xdr:row>1</xdr:row>
      <xdr:rowOff>57150</xdr:rowOff>
    </xdr:from>
    <xdr:to>
      <xdr:col>10</xdr:col>
      <xdr:colOff>15240</xdr:colOff>
      <xdr:row>1</xdr:row>
      <xdr:rowOff>309150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31E452-27AC-4AB4-A22D-5A3E6D89886D}"/>
            </a:ext>
          </a:extLst>
        </xdr:cNvPr>
        <xdr:cNvSpPr/>
      </xdr:nvSpPr>
      <xdr:spPr>
        <a:xfrm>
          <a:off x="8465820" y="240030"/>
          <a:ext cx="1882140" cy="2520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COMPRA</a:t>
          </a:r>
          <a:r>
            <a:rPr lang="pt-BR" sz="1100" baseline="0"/>
            <a:t> DE MERCADORIAS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289560</xdr:colOff>
      <xdr:row>1</xdr:row>
      <xdr:rowOff>53340</xdr:rowOff>
    </xdr:from>
    <xdr:to>
      <xdr:col>7</xdr:col>
      <xdr:colOff>304800</xdr:colOff>
      <xdr:row>1</xdr:row>
      <xdr:rowOff>305340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346956-D980-4CBA-BD02-05385F9380C2}"/>
            </a:ext>
          </a:extLst>
        </xdr:cNvPr>
        <xdr:cNvSpPr/>
      </xdr:nvSpPr>
      <xdr:spPr>
        <a:xfrm>
          <a:off x="7551420" y="236220"/>
          <a:ext cx="914400" cy="2520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7</xdr:col>
      <xdr:colOff>365760</xdr:colOff>
      <xdr:row>1</xdr:row>
      <xdr:rowOff>53340</xdr:rowOff>
    </xdr:from>
    <xdr:to>
      <xdr:col>8</xdr:col>
      <xdr:colOff>281940</xdr:colOff>
      <xdr:row>1</xdr:row>
      <xdr:rowOff>305340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3081BFE-8367-4E3C-A1B5-449F332CECED}"/>
            </a:ext>
          </a:extLst>
        </xdr:cNvPr>
        <xdr:cNvSpPr/>
      </xdr:nvSpPr>
      <xdr:spPr>
        <a:xfrm>
          <a:off x="8526780" y="236220"/>
          <a:ext cx="967740" cy="2520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DESPESAS</a:t>
          </a:r>
        </a:p>
      </xdr:txBody>
    </xdr:sp>
    <xdr:clientData/>
  </xdr:twoCellAnchor>
  <xdr:twoCellAnchor>
    <xdr:from>
      <xdr:col>8</xdr:col>
      <xdr:colOff>342900</xdr:colOff>
      <xdr:row>1</xdr:row>
      <xdr:rowOff>53340</xdr:rowOff>
    </xdr:from>
    <xdr:to>
      <xdr:col>11</xdr:col>
      <xdr:colOff>7620</xdr:colOff>
      <xdr:row>1</xdr:row>
      <xdr:rowOff>305340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35723C7-3C43-4F23-A928-71E45DCBA9C5}"/>
            </a:ext>
          </a:extLst>
        </xdr:cNvPr>
        <xdr:cNvSpPr/>
      </xdr:nvSpPr>
      <xdr:spPr>
        <a:xfrm>
          <a:off x="9555480" y="236220"/>
          <a:ext cx="1882140" cy="2520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CONTROLE DE ESTOQUE</a:t>
          </a:r>
          <a:endParaRPr lang="pt-BR" sz="1100" baseline="0"/>
        </a:p>
      </xdr:txBody>
    </xdr:sp>
    <xdr:clientData/>
  </xdr:twoCellAnchor>
  <xdr:twoCellAnchor editAs="absolute">
    <xdr:from>
      <xdr:col>0</xdr:col>
      <xdr:colOff>116633</xdr:colOff>
      <xdr:row>3</xdr:row>
      <xdr:rowOff>0</xdr:rowOff>
    </xdr:from>
    <xdr:to>
      <xdr:col>1</xdr:col>
      <xdr:colOff>427343</xdr:colOff>
      <xdr:row>5</xdr:row>
      <xdr:rowOff>132184</xdr:rowOff>
    </xdr:to>
    <xdr:sp macro="[0]!inserir_compra" textlink="">
      <xdr:nvSpPr>
        <xdr:cNvPr id="5" name="Retângulo 4">
          <a:extLst>
            <a:ext uri="{FF2B5EF4-FFF2-40B4-BE49-F238E27FC236}">
              <a16:creationId xmlns:a16="http://schemas.microsoft.com/office/drawing/2014/main" id="{95FBF089-28FA-4C0E-BC8E-8D6AB30FE700}"/>
            </a:ext>
          </a:extLst>
        </xdr:cNvPr>
        <xdr:cNvSpPr/>
      </xdr:nvSpPr>
      <xdr:spPr>
        <a:xfrm>
          <a:off x="116633" y="847531"/>
          <a:ext cx="917200" cy="505408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Inserir</a:t>
          </a:r>
          <a:r>
            <a:rPr lang="pt-BR" sz="1100" baseline="0">
              <a:solidFill>
                <a:schemeClr val="accent1"/>
              </a:solidFill>
            </a:rPr>
            <a:t> Nova Compra</a:t>
          </a:r>
          <a:endParaRPr lang="pt-BR" sz="1100">
            <a:solidFill>
              <a:schemeClr val="accent1"/>
            </a:solidFill>
          </a:endParaRPr>
        </a:p>
      </xdr:txBody>
    </xdr:sp>
    <xdr:clientData/>
  </xdr:twoCellAnchor>
  <xdr:twoCellAnchor editAs="absolute">
    <xdr:from>
      <xdr:col>0</xdr:col>
      <xdr:colOff>129074</xdr:colOff>
      <xdr:row>6</xdr:row>
      <xdr:rowOff>27993</xdr:rowOff>
    </xdr:from>
    <xdr:to>
      <xdr:col>1</xdr:col>
      <xdr:colOff>439784</xdr:colOff>
      <xdr:row>8</xdr:row>
      <xdr:rowOff>160176</xdr:rowOff>
    </xdr:to>
    <xdr:sp macro="[0]!deletar_compra" textlink="">
      <xdr:nvSpPr>
        <xdr:cNvPr id="6" name="Retângulo 5">
          <a:extLst>
            <a:ext uri="{FF2B5EF4-FFF2-40B4-BE49-F238E27FC236}">
              <a16:creationId xmlns:a16="http://schemas.microsoft.com/office/drawing/2014/main" id="{A20C62EC-B64B-4563-9CAB-1EF174DE7AEA}"/>
            </a:ext>
          </a:extLst>
        </xdr:cNvPr>
        <xdr:cNvSpPr/>
      </xdr:nvSpPr>
      <xdr:spPr>
        <a:xfrm>
          <a:off x="129074" y="1435360"/>
          <a:ext cx="917200" cy="505408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solidFill>
                <a:schemeClr val="accent1"/>
              </a:solidFill>
            </a:rPr>
            <a:t>Deletar  Compra</a:t>
          </a:r>
          <a:endParaRPr lang="pt-BR" sz="1100">
            <a:solidFill>
              <a:schemeClr val="accent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53340</xdr:rowOff>
    </xdr:from>
    <xdr:to>
      <xdr:col>5</xdr:col>
      <xdr:colOff>914400</xdr:colOff>
      <xdr:row>1</xdr:row>
      <xdr:rowOff>305340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BE26EB-5177-4CC8-ACCB-AAEE1F8715CF}"/>
            </a:ext>
          </a:extLst>
        </xdr:cNvPr>
        <xdr:cNvSpPr/>
      </xdr:nvSpPr>
      <xdr:spPr>
        <a:xfrm>
          <a:off x="7421880" y="236220"/>
          <a:ext cx="914400" cy="2520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5</xdr:col>
      <xdr:colOff>975360</xdr:colOff>
      <xdr:row>1</xdr:row>
      <xdr:rowOff>53340</xdr:rowOff>
    </xdr:from>
    <xdr:to>
      <xdr:col>6</xdr:col>
      <xdr:colOff>502920</xdr:colOff>
      <xdr:row>1</xdr:row>
      <xdr:rowOff>305340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DF66D2C-8F29-446F-815F-46CFF55AE940}"/>
            </a:ext>
          </a:extLst>
        </xdr:cNvPr>
        <xdr:cNvSpPr/>
      </xdr:nvSpPr>
      <xdr:spPr>
        <a:xfrm>
          <a:off x="8397240" y="236220"/>
          <a:ext cx="967740" cy="2520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RESULTADOS</a:t>
          </a:r>
        </a:p>
      </xdr:txBody>
    </xdr:sp>
    <xdr:clientData/>
  </xdr:twoCellAnchor>
  <xdr:twoCellAnchor>
    <xdr:from>
      <xdr:col>6</xdr:col>
      <xdr:colOff>563880</xdr:colOff>
      <xdr:row>1</xdr:row>
      <xdr:rowOff>53340</xdr:rowOff>
    </xdr:from>
    <xdr:to>
      <xdr:col>8</xdr:col>
      <xdr:colOff>449580</xdr:colOff>
      <xdr:row>1</xdr:row>
      <xdr:rowOff>305340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9C31BAB-F399-4C04-AF4B-37D8633303B1}"/>
            </a:ext>
          </a:extLst>
        </xdr:cNvPr>
        <xdr:cNvSpPr/>
      </xdr:nvSpPr>
      <xdr:spPr>
        <a:xfrm>
          <a:off x="9425940" y="236220"/>
          <a:ext cx="1882140" cy="2520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COMPRA</a:t>
          </a:r>
          <a:r>
            <a:rPr lang="pt-BR" sz="1100" baseline="0"/>
            <a:t> DE MERCADORIAS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609600</xdr:colOff>
      <xdr:row>1</xdr:row>
      <xdr:rowOff>60960</xdr:rowOff>
    </xdr:from>
    <xdr:to>
      <xdr:col>4</xdr:col>
      <xdr:colOff>1524000</xdr:colOff>
      <xdr:row>1</xdr:row>
      <xdr:rowOff>312960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A09B8D-FD20-4203-B365-0C9B7D91D43C}"/>
            </a:ext>
          </a:extLst>
        </xdr:cNvPr>
        <xdr:cNvSpPr/>
      </xdr:nvSpPr>
      <xdr:spPr>
        <a:xfrm>
          <a:off x="7589520" y="243840"/>
          <a:ext cx="914400" cy="2520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4</xdr:col>
      <xdr:colOff>1630680</xdr:colOff>
      <xdr:row>1</xdr:row>
      <xdr:rowOff>60960</xdr:rowOff>
    </xdr:from>
    <xdr:to>
      <xdr:col>7</xdr:col>
      <xdr:colOff>30947</xdr:colOff>
      <xdr:row>1</xdr:row>
      <xdr:rowOff>312960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5F33A6F-91A8-4A4E-AA21-A5990E3AA904}"/>
            </a:ext>
          </a:extLst>
        </xdr:cNvPr>
        <xdr:cNvSpPr/>
      </xdr:nvSpPr>
      <xdr:spPr>
        <a:xfrm>
          <a:off x="8610600" y="243840"/>
          <a:ext cx="1974047" cy="2520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CONTROLE DE ESTOQUE</a:t>
          </a:r>
          <a:endParaRPr lang="pt-BR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586740</xdr:colOff>
      <xdr:row>5</xdr:row>
      <xdr:rowOff>171450</xdr:rowOff>
    </xdr:from>
    <xdr:to>
      <xdr:col>12</xdr:col>
      <xdr:colOff>1089660</xdr:colOff>
      <xdr:row>20</xdr:row>
      <xdr:rowOff>63246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E437C56-74F3-4A18-AC5B-378398B08E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129540</xdr:colOff>
      <xdr:row>23</xdr:row>
      <xdr:rowOff>41910</xdr:rowOff>
    </xdr:from>
    <xdr:to>
      <xdr:col>12</xdr:col>
      <xdr:colOff>1143000</xdr:colOff>
      <xdr:row>35</xdr:row>
      <xdr:rowOff>83820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A784375-EBD8-442A-8101-046E64BD22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167640</xdr:colOff>
      <xdr:row>38</xdr:row>
      <xdr:rowOff>102870</xdr:rowOff>
    </xdr:from>
    <xdr:to>
      <xdr:col>12</xdr:col>
      <xdr:colOff>1135380</xdr:colOff>
      <xdr:row>49</xdr:row>
      <xdr:rowOff>83820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65F6FE1-585D-4B7C-B151-009E552F7A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</xdr:colOff>
      <xdr:row>1</xdr:row>
      <xdr:rowOff>60960</xdr:rowOff>
    </xdr:from>
    <xdr:to>
      <xdr:col>11</xdr:col>
      <xdr:colOff>327660</xdr:colOff>
      <xdr:row>1</xdr:row>
      <xdr:rowOff>312960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C04D1A8-D44C-477A-B201-61AB2433FA8A}"/>
            </a:ext>
          </a:extLst>
        </xdr:cNvPr>
        <xdr:cNvSpPr/>
      </xdr:nvSpPr>
      <xdr:spPr>
        <a:xfrm>
          <a:off x="8526780" y="243840"/>
          <a:ext cx="914400" cy="2520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11</xdr:col>
      <xdr:colOff>388620</xdr:colOff>
      <xdr:row>1</xdr:row>
      <xdr:rowOff>60960</xdr:rowOff>
    </xdr:from>
    <xdr:to>
      <xdr:col>12</xdr:col>
      <xdr:colOff>746760</xdr:colOff>
      <xdr:row>1</xdr:row>
      <xdr:rowOff>312960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7738CFA-F12F-4CE1-9AFC-1C8957072C9F}"/>
            </a:ext>
          </a:extLst>
        </xdr:cNvPr>
        <xdr:cNvSpPr/>
      </xdr:nvSpPr>
      <xdr:spPr>
        <a:xfrm>
          <a:off x="9502140" y="243840"/>
          <a:ext cx="967740" cy="2520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RESULTADOS</a:t>
          </a:r>
        </a:p>
      </xdr:txBody>
    </xdr:sp>
    <xdr:clientData/>
  </xdr:twoCellAnchor>
  <xdr:twoCellAnchor>
    <xdr:from>
      <xdr:col>12</xdr:col>
      <xdr:colOff>807720</xdr:colOff>
      <xdr:row>1</xdr:row>
      <xdr:rowOff>60960</xdr:rowOff>
    </xdr:from>
    <xdr:to>
      <xdr:col>15</xdr:col>
      <xdr:colOff>259080</xdr:colOff>
      <xdr:row>1</xdr:row>
      <xdr:rowOff>312960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7705A4C-F1B7-4D24-9235-E8272676B88C}"/>
            </a:ext>
          </a:extLst>
        </xdr:cNvPr>
        <xdr:cNvSpPr/>
      </xdr:nvSpPr>
      <xdr:spPr>
        <a:xfrm>
          <a:off x="10530840" y="243840"/>
          <a:ext cx="1882140" cy="2520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IR PARA SEMANAS</a:t>
          </a:r>
          <a:endParaRPr lang="pt-BR" sz="1100" baseline="0"/>
        </a:p>
      </xdr:txBody>
    </xdr:sp>
    <xdr:clientData/>
  </xdr:twoCellAnchor>
  <xdr:twoCellAnchor>
    <xdr:from>
      <xdr:col>4</xdr:col>
      <xdr:colOff>137160</xdr:colOff>
      <xdr:row>52</xdr:row>
      <xdr:rowOff>3810</xdr:rowOff>
    </xdr:from>
    <xdr:to>
      <xdr:col>5</xdr:col>
      <xdr:colOff>495300</xdr:colOff>
      <xdr:row>53</xdr:row>
      <xdr:rowOff>72930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C4E2877-6C75-42BF-AA9F-32C3CABB0667}"/>
            </a:ext>
          </a:extLst>
        </xdr:cNvPr>
        <xdr:cNvSpPr/>
      </xdr:nvSpPr>
      <xdr:spPr>
        <a:xfrm>
          <a:off x="5273040" y="10984230"/>
          <a:ext cx="967740" cy="25200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SEMANA 1</a:t>
          </a:r>
        </a:p>
      </xdr:txBody>
    </xdr:sp>
    <xdr:clientData/>
  </xdr:twoCellAnchor>
  <xdr:twoCellAnchor>
    <xdr:from>
      <xdr:col>5</xdr:col>
      <xdr:colOff>607695</xdr:colOff>
      <xdr:row>52</xdr:row>
      <xdr:rowOff>3810</xdr:rowOff>
    </xdr:from>
    <xdr:to>
      <xdr:col>6</xdr:col>
      <xdr:colOff>965835</xdr:colOff>
      <xdr:row>53</xdr:row>
      <xdr:rowOff>72930</xdr:rowOff>
    </xdr:to>
    <xdr:sp macro="" textlink="">
      <xdr:nvSpPr>
        <xdr:cNvPr id="9" name="Retângul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C2A9951-98CC-43C2-859B-6A02326B9B22}"/>
            </a:ext>
          </a:extLst>
        </xdr:cNvPr>
        <xdr:cNvSpPr/>
      </xdr:nvSpPr>
      <xdr:spPr>
        <a:xfrm>
          <a:off x="6353175" y="10984230"/>
          <a:ext cx="967740" cy="25200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SEMANA 2</a:t>
          </a:r>
        </a:p>
      </xdr:txBody>
    </xdr:sp>
    <xdr:clientData/>
  </xdr:twoCellAnchor>
  <xdr:twoCellAnchor>
    <xdr:from>
      <xdr:col>7</xdr:col>
      <xdr:colOff>3810</xdr:colOff>
      <xdr:row>52</xdr:row>
      <xdr:rowOff>3810</xdr:rowOff>
    </xdr:from>
    <xdr:to>
      <xdr:col>7</xdr:col>
      <xdr:colOff>971550</xdr:colOff>
      <xdr:row>53</xdr:row>
      <xdr:rowOff>72930</xdr:rowOff>
    </xdr:to>
    <xdr:sp macro="" textlink="">
      <xdr:nvSpPr>
        <xdr:cNvPr id="10" name="Retângul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87626D9-B216-475A-A7EC-346863DF3A81}"/>
            </a:ext>
          </a:extLst>
        </xdr:cNvPr>
        <xdr:cNvSpPr/>
      </xdr:nvSpPr>
      <xdr:spPr>
        <a:xfrm>
          <a:off x="7433310" y="10984230"/>
          <a:ext cx="967740" cy="25200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SEMANA 3</a:t>
          </a:r>
        </a:p>
      </xdr:txBody>
    </xdr:sp>
    <xdr:clientData/>
  </xdr:twoCellAnchor>
  <xdr:twoCellAnchor>
    <xdr:from>
      <xdr:col>8</xdr:col>
      <xdr:colOff>17145</xdr:colOff>
      <xdr:row>52</xdr:row>
      <xdr:rowOff>3810</xdr:rowOff>
    </xdr:from>
    <xdr:to>
      <xdr:col>8</xdr:col>
      <xdr:colOff>984885</xdr:colOff>
      <xdr:row>53</xdr:row>
      <xdr:rowOff>72930</xdr:rowOff>
    </xdr:to>
    <xdr:sp macro="" textlink="">
      <xdr:nvSpPr>
        <xdr:cNvPr id="11" name="Retângul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27722C8-01DB-4514-91AF-1E833FEAE0C4}"/>
            </a:ext>
          </a:extLst>
        </xdr:cNvPr>
        <xdr:cNvSpPr/>
      </xdr:nvSpPr>
      <xdr:spPr>
        <a:xfrm>
          <a:off x="8521065" y="10984230"/>
          <a:ext cx="967740" cy="25200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SEMANA 4</a:t>
          </a:r>
        </a:p>
      </xdr:txBody>
    </xdr:sp>
    <xdr:clientData/>
  </xdr:twoCellAnchor>
  <xdr:twoCellAnchor>
    <xdr:from>
      <xdr:col>9</xdr:col>
      <xdr:colOff>22860</xdr:colOff>
      <xdr:row>52</xdr:row>
      <xdr:rowOff>3810</xdr:rowOff>
    </xdr:from>
    <xdr:to>
      <xdr:col>9</xdr:col>
      <xdr:colOff>990600</xdr:colOff>
      <xdr:row>53</xdr:row>
      <xdr:rowOff>72930</xdr:rowOff>
    </xdr:to>
    <xdr:sp macro="" textlink="">
      <xdr:nvSpPr>
        <xdr:cNvPr id="12" name="Retângulo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2E1D494-4E70-43DB-8B91-CB000DE36CBB}"/>
            </a:ext>
          </a:extLst>
        </xdr:cNvPr>
        <xdr:cNvSpPr/>
      </xdr:nvSpPr>
      <xdr:spPr>
        <a:xfrm>
          <a:off x="9601200" y="10984230"/>
          <a:ext cx="967740" cy="25200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SEMANA 5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152400</xdr:colOff>
      <xdr:row>3</xdr:row>
      <xdr:rowOff>15240</xdr:rowOff>
    </xdr:from>
    <xdr:to>
      <xdr:col>1</xdr:col>
      <xdr:colOff>457200</xdr:colOff>
      <xdr:row>5</xdr:row>
      <xdr:rowOff>137160</xdr:rowOff>
    </xdr:to>
    <xdr:sp macro="[0]!excluir_venda" textlink="">
      <xdr:nvSpPr>
        <xdr:cNvPr id="2" name="Retângulo 1">
          <a:extLst>
            <a:ext uri="{FF2B5EF4-FFF2-40B4-BE49-F238E27FC236}">
              <a16:creationId xmlns:a16="http://schemas.microsoft.com/office/drawing/2014/main" id="{89FCB03A-4498-4A04-9BD8-1DDDC8BBB524}"/>
            </a:ext>
          </a:extLst>
        </xdr:cNvPr>
        <xdr:cNvSpPr/>
      </xdr:nvSpPr>
      <xdr:spPr>
        <a:xfrm>
          <a:off x="152400" y="861060"/>
          <a:ext cx="914400" cy="48768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Excluir Registro</a:t>
          </a:r>
        </a:p>
      </xdr:txBody>
    </xdr:sp>
    <xdr:clientData/>
  </xdr:twoCellAnchor>
  <xdr:twoCellAnchor editAs="absolute">
    <xdr:from>
      <xdr:col>0</xdr:col>
      <xdr:colOff>152400</xdr:colOff>
      <xdr:row>6</xdr:row>
      <xdr:rowOff>0</xdr:rowOff>
    </xdr:from>
    <xdr:to>
      <xdr:col>1</xdr:col>
      <xdr:colOff>457200</xdr:colOff>
      <xdr:row>8</xdr:row>
      <xdr:rowOff>121920</xdr:rowOff>
    </xdr:to>
    <xdr:sp macro="[0]!inserir_nova_venda" textlink="">
      <xdr:nvSpPr>
        <xdr:cNvPr id="3" name="Retângulo 2">
          <a:extLst>
            <a:ext uri="{FF2B5EF4-FFF2-40B4-BE49-F238E27FC236}">
              <a16:creationId xmlns:a16="http://schemas.microsoft.com/office/drawing/2014/main" id="{5AC458E9-8BE4-4A1F-9168-06888B087DE8}"/>
            </a:ext>
          </a:extLst>
        </xdr:cNvPr>
        <xdr:cNvSpPr/>
      </xdr:nvSpPr>
      <xdr:spPr>
        <a:xfrm>
          <a:off x="152400" y="1394460"/>
          <a:ext cx="914400" cy="48768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Nova Venda</a:t>
          </a:r>
        </a:p>
      </xdr:txBody>
    </xdr:sp>
    <xdr:clientData/>
  </xdr:twoCellAnchor>
  <xdr:twoCellAnchor editAs="absolute">
    <xdr:from>
      <xdr:col>0</xdr:col>
      <xdr:colOff>160020</xdr:colOff>
      <xdr:row>8</xdr:row>
      <xdr:rowOff>167640</xdr:rowOff>
    </xdr:from>
    <xdr:to>
      <xdr:col>1</xdr:col>
      <xdr:colOff>464820</xdr:colOff>
      <xdr:row>11</xdr:row>
      <xdr:rowOff>106680</xdr:rowOff>
    </xdr:to>
    <xdr:sp macro="[0]!inserir_produto" textlink="">
      <xdr:nvSpPr>
        <xdr:cNvPr id="4" name="Retângulo 3">
          <a:extLst>
            <a:ext uri="{FF2B5EF4-FFF2-40B4-BE49-F238E27FC236}">
              <a16:creationId xmlns:a16="http://schemas.microsoft.com/office/drawing/2014/main" id="{54DF2A9B-DDE0-4528-B42E-AFA69FC99D0E}"/>
            </a:ext>
          </a:extLst>
        </xdr:cNvPr>
        <xdr:cNvSpPr/>
      </xdr:nvSpPr>
      <xdr:spPr>
        <a:xfrm>
          <a:off x="160020" y="1927860"/>
          <a:ext cx="914400" cy="48768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Inserir</a:t>
          </a:r>
          <a:r>
            <a:rPr lang="pt-BR" sz="1100" baseline="0">
              <a:solidFill>
                <a:schemeClr val="accent6"/>
              </a:solidFill>
            </a:rPr>
            <a:t> Produto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11</xdr:col>
      <xdr:colOff>891540</xdr:colOff>
      <xdr:row>1</xdr:row>
      <xdr:rowOff>76200</xdr:rowOff>
    </xdr:from>
    <xdr:to>
      <xdr:col>12</xdr:col>
      <xdr:colOff>685800</xdr:colOff>
      <xdr:row>1</xdr:row>
      <xdr:rowOff>328200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D7A1D67-DF64-44E0-A89D-2E06762673E3}"/>
            </a:ext>
          </a:extLst>
        </xdr:cNvPr>
        <xdr:cNvSpPr/>
      </xdr:nvSpPr>
      <xdr:spPr>
        <a:xfrm>
          <a:off x="9852660" y="259080"/>
          <a:ext cx="914400" cy="2520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13</xdr:col>
      <xdr:colOff>38100</xdr:colOff>
      <xdr:row>1</xdr:row>
      <xdr:rowOff>76200</xdr:rowOff>
    </xdr:from>
    <xdr:to>
      <xdr:col>13</xdr:col>
      <xdr:colOff>1005840</xdr:colOff>
      <xdr:row>1</xdr:row>
      <xdr:rowOff>328200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4021E40-0D87-417A-BF3C-9D74FCF3F866}"/>
            </a:ext>
          </a:extLst>
        </xdr:cNvPr>
        <xdr:cNvSpPr/>
      </xdr:nvSpPr>
      <xdr:spPr>
        <a:xfrm>
          <a:off x="10828020" y="259080"/>
          <a:ext cx="967740" cy="2520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RESULTADOS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175260</xdr:colOff>
      <xdr:row>3</xdr:row>
      <xdr:rowOff>0</xdr:rowOff>
    </xdr:from>
    <xdr:to>
      <xdr:col>1</xdr:col>
      <xdr:colOff>480060</xdr:colOff>
      <xdr:row>5</xdr:row>
      <xdr:rowOff>121920</xdr:rowOff>
    </xdr:to>
    <xdr:sp macro="[0]!excluir_venda" textlink="">
      <xdr:nvSpPr>
        <xdr:cNvPr id="2" name="Retângulo 1">
          <a:extLst>
            <a:ext uri="{FF2B5EF4-FFF2-40B4-BE49-F238E27FC236}">
              <a16:creationId xmlns:a16="http://schemas.microsoft.com/office/drawing/2014/main" id="{D6A6C8DF-3D87-4CB4-A869-ED29E77FF965}"/>
            </a:ext>
          </a:extLst>
        </xdr:cNvPr>
        <xdr:cNvSpPr/>
      </xdr:nvSpPr>
      <xdr:spPr>
        <a:xfrm>
          <a:off x="175260" y="845820"/>
          <a:ext cx="914400" cy="48768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Excluir Registro</a:t>
          </a:r>
        </a:p>
      </xdr:txBody>
    </xdr:sp>
    <xdr:clientData/>
  </xdr:twoCellAnchor>
  <xdr:twoCellAnchor editAs="absolute">
    <xdr:from>
      <xdr:col>0</xdr:col>
      <xdr:colOff>175260</xdr:colOff>
      <xdr:row>5</xdr:row>
      <xdr:rowOff>167640</xdr:rowOff>
    </xdr:from>
    <xdr:to>
      <xdr:col>1</xdr:col>
      <xdr:colOff>480060</xdr:colOff>
      <xdr:row>8</xdr:row>
      <xdr:rowOff>106680</xdr:rowOff>
    </xdr:to>
    <xdr:sp macro="[0]!inserir_nova_venda" textlink="">
      <xdr:nvSpPr>
        <xdr:cNvPr id="3" name="Retângulo 2">
          <a:extLst>
            <a:ext uri="{FF2B5EF4-FFF2-40B4-BE49-F238E27FC236}">
              <a16:creationId xmlns:a16="http://schemas.microsoft.com/office/drawing/2014/main" id="{47E309FA-3052-4560-AA62-06D543D7AFE7}"/>
            </a:ext>
          </a:extLst>
        </xdr:cNvPr>
        <xdr:cNvSpPr/>
      </xdr:nvSpPr>
      <xdr:spPr>
        <a:xfrm>
          <a:off x="175260" y="1379220"/>
          <a:ext cx="914400" cy="48768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Nova Venda</a:t>
          </a:r>
        </a:p>
      </xdr:txBody>
    </xdr:sp>
    <xdr:clientData/>
  </xdr:twoCellAnchor>
  <xdr:twoCellAnchor editAs="absolute">
    <xdr:from>
      <xdr:col>0</xdr:col>
      <xdr:colOff>182880</xdr:colOff>
      <xdr:row>8</xdr:row>
      <xdr:rowOff>152400</xdr:rowOff>
    </xdr:from>
    <xdr:to>
      <xdr:col>1</xdr:col>
      <xdr:colOff>487680</xdr:colOff>
      <xdr:row>11</xdr:row>
      <xdr:rowOff>91440</xdr:rowOff>
    </xdr:to>
    <xdr:sp macro="[0]!inserir_produto" textlink="">
      <xdr:nvSpPr>
        <xdr:cNvPr id="4" name="Retângulo 3">
          <a:extLst>
            <a:ext uri="{FF2B5EF4-FFF2-40B4-BE49-F238E27FC236}">
              <a16:creationId xmlns:a16="http://schemas.microsoft.com/office/drawing/2014/main" id="{2CADB83A-3475-41A0-A401-F3F86CE001F9}"/>
            </a:ext>
          </a:extLst>
        </xdr:cNvPr>
        <xdr:cNvSpPr/>
      </xdr:nvSpPr>
      <xdr:spPr>
        <a:xfrm>
          <a:off x="182880" y="1912620"/>
          <a:ext cx="914400" cy="48768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Inserir</a:t>
          </a:r>
          <a:r>
            <a:rPr lang="pt-BR" sz="1100" baseline="0">
              <a:solidFill>
                <a:schemeClr val="accent6"/>
              </a:solidFill>
            </a:rPr>
            <a:t> Produto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11</xdr:col>
      <xdr:colOff>899160</xdr:colOff>
      <xdr:row>1</xdr:row>
      <xdr:rowOff>53340</xdr:rowOff>
    </xdr:from>
    <xdr:to>
      <xdr:col>12</xdr:col>
      <xdr:colOff>693420</xdr:colOff>
      <xdr:row>1</xdr:row>
      <xdr:rowOff>305340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9ADADFF-0378-46B2-B28C-51A8B5C6A038}"/>
            </a:ext>
          </a:extLst>
        </xdr:cNvPr>
        <xdr:cNvSpPr/>
      </xdr:nvSpPr>
      <xdr:spPr>
        <a:xfrm>
          <a:off x="8877300" y="236220"/>
          <a:ext cx="914400" cy="2520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13</xdr:col>
      <xdr:colOff>45720</xdr:colOff>
      <xdr:row>1</xdr:row>
      <xdr:rowOff>53340</xdr:rowOff>
    </xdr:from>
    <xdr:to>
      <xdr:col>13</xdr:col>
      <xdr:colOff>1013460</xdr:colOff>
      <xdr:row>1</xdr:row>
      <xdr:rowOff>305340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9BA9FB5-FB37-4A3A-84FA-7654F3009A13}"/>
            </a:ext>
          </a:extLst>
        </xdr:cNvPr>
        <xdr:cNvSpPr/>
      </xdr:nvSpPr>
      <xdr:spPr>
        <a:xfrm>
          <a:off x="9852660" y="236220"/>
          <a:ext cx="967740" cy="2520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RESULTADOS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152400</xdr:colOff>
      <xdr:row>3</xdr:row>
      <xdr:rowOff>7620</xdr:rowOff>
    </xdr:from>
    <xdr:to>
      <xdr:col>1</xdr:col>
      <xdr:colOff>457200</xdr:colOff>
      <xdr:row>5</xdr:row>
      <xdr:rowOff>129540</xdr:rowOff>
    </xdr:to>
    <xdr:sp macro="[0]!excluir_venda" textlink="">
      <xdr:nvSpPr>
        <xdr:cNvPr id="2" name="Retângulo 1">
          <a:extLst>
            <a:ext uri="{FF2B5EF4-FFF2-40B4-BE49-F238E27FC236}">
              <a16:creationId xmlns:a16="http://schemas.microsoft.com/office/drawing/2014/main" id="{8CE65A3B-22BB-4D8A-95CC-7FB47CA246A4}"/>
            </a:ext>
          </a:extLst>
        </xdr:cNvPr>
        <xdr:cNvSpPr/>
      </xdr:nvSpPr>
      <xdr:spPr>
        <a:xfrm>
          <a:off x="152400" y="853440"/>
          <a:ext cx="914400" cy="48768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Excluir Registro</a:t>
          </a:r>
        </a:p>
      </xdr:txBody>
    </xdr:sp>
    <xdr:clientData/>
  </xdr:twoCellAnchor>
  <xdr:twoCellAnchor editAs="absolute">
    <xdr:from>
      <xdr:col>0</xdr:col>
      <xdr:colOff>152400</xdr:colOff>
      <xdr:row>5</xdr:row>
      <xdr:rowOff>175260</xdr:rowOff>
    </xdr:from>
    <xdr:to>
      <xdr:col>1</xdr:col>
      <xdr:colOff>457200</xdr:colOff>
      <xdr:row>8</xdr:row>
      <xdr:rowOff>114300</xdr:rowOff>
    </xdr:to>
    <xdr:sp macro="[0]!inserir_nova_venda" textlink="">
      <xdr:nvSpPr>
        <xdr:cNvPr id="3" name="Retângulo 2">
          <a:extLst>
            <a:ext uri="{FF2B5EF4-FFF2-40B4-BE49-F238E27FC236}">
              <a16:creationId xmlns:a16="http://schemas.microsoft.com/office/drawing/2014/main" id="{20BDF13B-395C-4A67-ADA4-EF2583F06F5E}"/>
            </a:ext>
          </a:extLst>
        </xdr:cNvPr>
        <xdr:cNvSpPr/>
      </xdr:nvSpPr>
      <xdr:spPr>
        <a:xfrm>
          <a:off x="152400" y="1386840"/>
          <a:ext cx="914400" cy="48768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Nova Venda</a:t>
          </a:r>
        </a:p>
      </xdr:txBody>
    </xdr:sp>
    <xdr:clientData/>
  </xdr:twoCellAnchor>
  <xdr:twoCellAnchor editAs="absolute">
    <xdr:from>
      <xdr:col>0</xdr:col>
      <xdr:colOff>160020</xdr:colOff>
      <xdr:row>8</xdr:row>
      <xdr:rowOff>160020</xdr:rowOff>
    </xdr:from>
    <xdr:to>
      <xdr:col>1</xdr:col>
      <xdr:colOff>464820</xdr:colOff>
      <xdr:row>11</xdr:row>
      <xdr:rowOff>99060</xdr:rowOff>
    </xdr:to>
    <xdr:sp macro="[0]!inserir_produto" textlink="">
      <xdr:nvSpPr>
        <xdr:cNvPr id="4" name="Retângulo 3">
          <a:extLst>
            <a:ext uri="{FF2B5EF4-FFF2-40B4-BE49-F238E27FC236}">
              <a16:creationId xmlns:a16="http://schemas.microsoft.com/office/drawing/2014/main" id="{EE04B6BB-93A4-450C-BDB7-46A5F88553E7}"/>
            </a:ext>
          </a:extLst>
        </xdr:cNvPr>
        <xdr:cNvSpPr/>
      </xdr:nvSpPr>
      <xdr:spPr>
        <a:xfrm>
          <a:off x="160020" y="1920240"/>
          <a:ext cx="914400" cy="48768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Inserir</a:t>
          </a:r>
          <a:r>
            <a:rPr lang="pt-BR" sz="1100" baseline="0">
              <a:solidFill>
                <a:schemeClr val="accent6"/>
              </a:solidFill>
            </a:rPr>
            <a:t> Produto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11</xdr:col>
      <xdr:colOff>883920</xdr:colOff>
      <xdr:row>1</xdr:row>
      <xdr:rowOff>53340</xdr:rowOff>
    </xdr:from>
    <xdr:to>
      <xdr:col>12</xdr:col>
      <xdr:colOff>678180</xdr:colOff>
      <xdr:row>1</xdr:row>
      <xdr:rowOff>305340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2321F5-BF0E-481E-AB51-238C7B9571C6}"/>
            </a:ext>
          </a:extLst>
        </xdr:cNvPr>
        <xdr:cNvSpPr/>
      </xdr:nvSpPr>
      <xdr:spPr>
        <a:xfrm>
          <a:off x="8862060" y="236220"/>
          <a:ext cx="914400" cy="2520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13</xdr:col>
      <xdr:colOff>30480</xdr:colOff>
      <xdr:row>1</xdr:row>
      <xdr:rowOff>53340</xdr:rowOff>
    </xdr:from>
    <xdr:to>
      <xdr:col>13</xdr:col>
      <xdr:colOff>998220</xdr:colOff>
      <xdr:row>1</xdr:row>
      <xdr:rowOff>305340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B857B04-7A52-4D01-AC59-22941C71103D}"/>
            </a:ext>
          </a:extLst>
        </xdr:cNvPr>
        <xdr:cNvSpPr/>
      </xdr:nvSpPr>
      <xdr:spPr>
        <a:xfrm>
          <a:off x="9837420" y="236220"/>
          <a:ext cx="967740" cy="2520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RESULTADOS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167640</xdr:colOff>
      <xdr:row>3</xdr:row>
      <xdr:rowOff>7620</xdr:rowOff>
    </xdr:from>
    <xdr:to>
      <xdr:col>1</xdr:col>
      <xdr:colOff>472440</xdr:colOff>
      <xdr:row>5</xdr:row>
      <xdr:rowOff>129540</xdr:rowOff>
    </xdr:to>
    <xdr:sp macro="[0]!excluir_venda" textlink="">
      <xdr:nvSpPr>
        <xdr:cNvPr id="2" name="Retângulo 1">
          <a:extLst>
            <a:ext uri="{FF2B5EF4-FFF2-40B4-BE49-F238E27FC236}">
              <a16:creationId xmlns:a16="http://schemas.microsoft.com/office/drawing/2014/main" id="{6D25CD5E-4F65-4D09-AC59-11C7E687C349}"/>
            </a:ext>
          </a:extLst>
        </xdr:cNvPr>
        <xdr:cNvSpPr/>
      </xdr:nvSpPr>
      <xdr:spPr>
        <a:xfrm>
          <a:off x="167640" y="853440"/>
          <a:ext cx="914400" cy="48768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Excluir Registro</a:t>
          </a:r>
        </a:p>
      </xdr:txBody>
    </xdr:sp>
    <xdr:clientData/>
  </xdr:twoCellAnchor>
  <xdr:twoCellAnchor editAs="absolute">
    <xdr:from>
      <xdr:col>0</xdr:col>
      <xdr:colOff>167640</xdr:colOff>
      <xdr:row>5</xdr:row>
      <xdr:rowOff>175260</xdr:rowOff>
    </xdr:from>
    <xdr:to>
      <xdr:col>1</xdr:col>
      <xdr:colOff>472440</xdr:colOff>
      <xdr:row>8</xdr:row>
      <xdr:rowOff>114300</xdr:rowOff>
    </xdr:to>
    <xdr:sp macro="[0]!inserir_nova_venda" textlink="">
      <xdr:nvSpPr>
        <xdr:cNvPr id="3" name="Retângulo 2">
          <a:extLst>
            <a:ext uri="{FF2B5EF4-FFF2-40B4-BE49-F238E27FC236}">
              <a16:creationId xmlns:a16="http://schemas.microsoft.com/office/drawing/2014/main" id="{B9E4F65C-61B6-4084-8A3D-E407066FC037}"/>
            </a:ext>
          </a:extLst>
        </xdr:cNvPr>
        <xdr:cNvSpPr/>
      </xdr:nvSpPr>
      <xdr:spPr>
        <a:xfrm>
          <a:off x="167640" y="1386840"/>
          <a:ext cx="914400" cy="48768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Nova Venda</a:t>
          </a:r>
        </a:p>
      </xdr:txBody>
    </xdr:sp>
    <xdr:clientData/>
  </xdr:twoCellAnchor>
  <xdr:twoCellAnchor editAs="absolute">
    <xdr:from>
      <xdr:col>0</xdr:col>
      <xdr:colOff>175260</xdr:colOff>
      <xdr:row>8</xdr:row>
      <xdr:rowOff>160020</xdr:rowOff>
    </xdr:from>
    <xdr:to>
      <xdr:col>1</xdr:col>
      <xdr:colOff>480060</xdr:colOff>
      <xdr:row>11</xdr:row>
      <xdr:rowOff>99060</xdr:rowOff>
    </xdr:to>
    <xdr:sp macro="[0]!inserir_produto" textlink="">
      <xdr:nvSpPr>
        <xdr:cNvPr id="4" name="Retângulo 3">
          <a:extLst>
            <a:ext uri="{FF2B5EF4-FFF2-40B4-BE49-F238E27FC236}">
              <a16:creationId xmlns:a16="http://schemas.microsoft.com/office/drawing/2014/main" id="{22EBF9EF-501D-4AA2-9DE6-025925D16B26}"/>
            </a:ext>
          </a:extLst>
        </xdr:cNvPr>
        <xdr:cNvSpPr/>
      </xdr:nvSpPr>
      <xdr:spPr>
        <a:xfrm>
          <a:off x="175260" y="1920240"/>
          <a:ext cx="914400" cy="48768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Inserir</a:t>
          </a:r>
          <a:r>
            <a:rPr lang="pt-BR" sz="1100" baseline="0">
              <a:solidFill>
                <a:schemeClr val="accent6"/>
              </a:solidFill>
            </a:rPr>
            <a:t> Produto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11</xdr:col>
      <xdr:colOff>883920</xdr:colOff>
      <xdr:row>1</xdr:row>
      <xdr:rowOff>45720</xdr:rowOff>
    </xdr:from>
    <xdr:to>
      <xdr:col>12</xdr:col>
      <xdr:colOff>678180</xdr:colOff>
      <xdr:row>1</xdr:row>
      <xdr:rowOff>297720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0F5EE9-F92E-4F9D-B64E-C7AAB88AB47C}"/>
            </a:ext>
          </a:extLst>
        </xdr:cNvPr>
        <xdr:cNvSpPr/>
      </xdr:nvSpPr>
      <xdr:spPr>
        <a:xfrm>
          <a:off x="8862060" y="228600"/>
          <a:ext cx="914400" cy="2520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13</xdr:col>
      <xdr:colOff>30480</xdr:colOff>
      <xdr:row>1</xdr:row>
      <xdr:rowOff>45720</xdr:rowOff>
    </xdr:from>
    <xdr:to>
      <xdr:col>13</xdr:col>
      <xdr:colOff>998220</xdr:colOff>
      <xdr:row>1</xdr:row>
      <xdr:rowOff>297720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855948C-BF08-4A69-8721-7879CF72CF99}"/>
            </a:ext>
          </a:extLst>
        </xdr:cNvPr>
        <xdr:cNvSpPr/>
      </xdr:nvSpPr>
      <xdr:spPr>
        <a:xfrm>
          <a:off x="9837420" y="228600"/>
          <a:ext cx="967740" cy="2520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RESULTADOS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175260</xdr:colOff>
      <xdr:row>3</xdr:row>
      <xdr:rowOff>7620</xdr:rowOff>
    </xdr:from>
    <xdr:to>
      <xdr:col>1</xdr:col>
      <xdr:colOff>480060</xdr:colOff>
      <xdr:row>5</xdr:row>
      <xdr:rowOff>129540</xdr:rowOff>
    </xdr:to>
    <xdr:sp macro="[0]!excluir_venda" textlink="">
      <xdr:nvSpPr>
        <xdr:cNvPr id="2" name="Retângulo 1">
          <a:extLst>
            <a:ext uri="{FF2B5EF4-FFF2-40B4-BE49-F238E27FC236}">
              <a16:creationId xmlns:a16="http://schemas.microsoft.com/office/drawing/2014/main" id="{95FCA5B6-0560-4DC4-BF4A-26620C4D5BD4}"/>
            </a:ext>
          </a:extLst>
        </xdr:cNvPr>
        <xdr:cNvSpPr/>
      </xdr:nvSpPr>
      <xdr:spPr>
        <a:xfrm>
          <a:off x="175260" y="853440"/>
          <a:ext cx="914400" cy="48768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Excluir Registro</a:t>
          </a:r>
        </a:p>
      </xdr:txBody>
    </xdr:sp>
    <xdr:clientData/>
  </xdr:twoCellAnchor>
  <xdr:twoCellAnchor editAs="absolute">
    <xdr:from>
      <xdr:col>0</xdr:col>
      <xdr:colOff>175260</xdr:colOff>
      <xdr:row>5</xdr:row>
      <xdr:rowOff>175260</xdr:rowOff>
    </xdr:from>
    <xdr:to>
      <xdr:col>1</xdr:col>
      <xdr:colOff>480060</xdr:colOff>
      <xdr:row>8</xdr:row>
      <xdr:rowOff>114300</xdr:rowOff>
    </xdr:to>
    <xdr:sp macro="[0]!inserir_nova_venda" textlink="">
      <xdr:nvSpPr>
        <xdr:cNvPr id="3" name="Retângulo 2">
          <a:extLst>
            <a:ext uri="{FF2B5EF4-FFF2-40B4-BE49-F238E27FC236}">
              <a16:creationId xmlns:a16="http://schemas.microsoft.com/office/drawing/2014/main" id="{55349F85-869B-4BE2-950E-0BD070721F4F}"/>
            </a:ext>
          </a:extLst>
        </xdr:cNvPr>
        <xdr:cNvSpPr/>
      </xdr:nvSpPr>
      <xdr:spPr>
        <a:xfrm>
          <a:off x="175260" y="1386840"/>
          <a:ext cx="914400" cy="48768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Nova Venda</a:t>
          </a:r>
        </a:p>
      </xdr:txBody>
    </xdr:sp>
    <xdr:clientData/>
  </xdr:twoCellAnchor>
  <xdr:twoCellAnchor editAs="absolute">
    <xdr:from>
      <xdr:col>0</xdr:col>
      <xdr:colOff>182880</xdr:colOff>
      <xdr:row>8</xdr:row>
      <xdr:rowOff>160020</xdr:rowOff>
    </xdr:from>
    <xdr:to>
      <xdr:col>1</xdr:col>
      <xdr:colOff>487680</xdr:colOff>
      <xdr:row>11</xdr:row>
      <xdr:rowOff>99060</xdr:rowOff>
    </xdr:to>
    <xdr:sp macro="[0]!inserir_produto" textlink="">
      <xdr:nvSpPr>
        <xdr:cNvPr id="4" name="Retângulo 3">
          <a:extLst>
            <a:ext uri="{FF2B5EF4-FFF2-40B4-BE49-F238E27FC236}">
              <a16:creationId xmlns:a16="http://schemas.microsoft.com/office/drawing/2014/main" id="{3D52FC67-8A8B-4F92-9795-18CE4B97B339}"/>
            </a:ext>
          </a:extLst>
        </xdr:cNvPr>
        <xdr:cNvSpPr/>
      </xdr:nvSpPr>
      <xdr:spPr>
        <a:xfrm>
          <a:off x="182880" y="1920240"/>
          <a:ext cx="914400" cy="48768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Inserir</a:t>
          </a:r>
          <a:r>
            <a:rPr lang="pt-BR" sz="1100" baseline="0">
              <a:solidFill>
                <a:schemeClr val="accent6"/>
              </a:solidFill>
            </a:rPr>
            <a:t> Produto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11</xdr:col>
      <xdr:colOff>899160</xdr:colOff>
      <xdr:row>1</xdr:row>
      <xdr:rowOff>53340</xdr:rowOff>
    </xdr:from>
    <xdr:to>
      <xdr:col>12</xdr:col>
      <xdr:colOff>693420</xdr:colOff>
      <xdr:row>1</xdr:row>
      <xdr:rowOff>305340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2B78AF-01E5-4FCF-8DD2-9E4C94BBD3DB}"/>
            </a:ext>
          </a:extLst>
        </xdr:cNvPr>
        <xdr:cNvSpPr/>
      </xdr:nvSpPr>
      <xdr:spPr>
        <a:xfrm>
          <a:off x="8877300" y="236220"/>
          <a:ext cx="914400" cy="2520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13</xdr:col>
      <xdr:colOff>45720</xdr:colOff>
      <xdr:row>1</xdr:row>
      <xdr:rowOff>53340</xdr:rowOff>
    </xdr:from>
    <xdr:to>
      <xdr:col>13</xdr:col>
      <xdr:colOff>1013460</xdr:colOff>
      <xdr:row>1</xdr:row>
      <xdr:rowOff>305340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4E20318-7566-44BC-9512-B0BEE6AEEAE1}"/>
            </a:ext>
          </a:extLst>
        </xdr:cNvPr>
        <xdr:cNvSpPr/>
      </xdr:nvSpPr>
      <xdr:spPr>
        <a:xfrm>
          <a:off x="9852660" y="236220"/>
          <a:ext cx="967740" cy="2520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RESULTADOS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ustavo Esporte dos Santos" id="{671658E8-5894-4148-A1C4-F809197B392C}" userId="Gustavo Esporte dos Santos" providerId="Non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stavo Esporte dos Santos" refreshedDate="43802.818674768518" createdVersion="6" refreshedVersion="6" minRefreshableVersion="3" recordCount="26" xr:uid="{286C916F-EAC7-4BCA-BF82-1C6198D9D5CA}">
  <cacheSource type="worksheet">
    <worksheetSource name="Tabela5"/>
  </cacheSource>
  <cacheFields count="12">
    <cacheField name="Id da Venda" numFmtId="0">
      <sharedItems containsSemiMixedTypes="0" containsString="0" containsNumber="1" containsInteger="1" minValue="1" maxValue="13" count="13">
        <n v="13"/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Data" numFmtId="14">
      <sharedItems containsSemiMixedTypes="0" containsNonDate="0" containsDate="1" containsString="0" minDate="2015-07-02T00:00:00" maxDate="2015-07-06T00:00:00" count="4">
        <d v="2015-07-05T00:00:00"/>
        <d v="2015-07-04T00:00:00"/>
        <d v="2015-07-03T00:00:00"/>
        <d v="2015-07-02T00:00:00"/>
      </sharedItems>
    </cacheField>
    <cacheField name="Produto" numFmtId="0">
      <sharedItems containsBlank="1" count="14">
        <m/>
        <s v="Amendoim"/>
        <s v="Caixa de Fósforo"/>
        <s v="Carne"/>
        <s v="Cerveja"/>
        <s v="Feijão"/>
        <s v="Refrigerante"/>
        <s v="Pão de Forma"/>
        <s v="Vagem"/>
        <s v="Queijo"/>
        <s v="Alface"/>
        <s v="Bala"/>
        <s v="Arroz"/>
        <s v="Leite"/>
      </sharedItems>
    </cacheField>
    <cacheField name="Medida" numFmtId="0">
      <sharedItems/>
    </cacheField>
    <cacheField name="Quantidade" numFmtId="0">
      <sharedItems containsString="0" containsBlank="1" containsNumber="1" minValue="1" maxValue="24"/>
    </cacheField>
    <cacheField name="Preço Unitário" numFmtId="44">
      <sharedItems containsMixedTypes="1" containsNumber="1" minValue="0.79" maxValue="25.9"/>
    </cacheField>
    <cacheField name="Subtotal" numFmtId="44">
      <sharedItems containsMixedTypes="1" containsNumber="1" minValue="0.79" maxValue="159"/>
    </cacheField>
    <cacheField name="Desconto" numFmtId="9">
      <sharedItems containsString="0" containsBlank="1" containsNumber="1" minValue="0.05" maxValue="0.05"/>
    </cacheField>
    <cacheField name="Entrega" numFmtId="0">
      <sharedItems count="5">
        <s v="Zona Sul"/>
        <s v="Loja"/>
        <s v="Centro"/>
        <s v="Zona Norte"/>
        <s v="Zona Oeste"/>
      </sharedItems>
    </cacheField>
    <cacheField name="Valor de Entrega" numFmtId="44">
      <sharedItems containsSemiMixedTypes="0" containsString="0" containsNumber="1" minValue="0" maxValue="8"/>
    </cacheField>
    <cacheField name="Total" numFmtId="44">
      <sharedItems containsMixedTypes="1" containsNumber="1" minValue="0.79" maxValue="151.04999999999998" count="26">
        <s v=""/>
        <n v="11.5"/>
        <n v="0.79"/>
        <n v="151.04999999999998"/>
        <n v="56.432000000000002"/>
        <n v="2.19"/>
        <n v="21.9"/>
        <n v="25.68"/>
        <n v="9.56"/>
        <n v="14.450000000000001"/>
        <n v="19.16"/>
        <n v="38.849999999999994"/>
        <n v="17.12"/>
        <n v="46.609999999999992"/>
        <n v="41.609999999999992"/>
        <n v="1.58"/>
        <n v="95.4"/>
        <n v="26.28"/>
        <n v="15.47"/>
        <n v="3.98"/>
        <n v="18.950000000000003"/>
        <n v="16.939999999999998"/>
        <n v="8.49"/>
        <n v="4.9800000000000004"/>
        <n v="3.4499999999999997"/>
        <n v="1.99"/>
      </sharedItems>
    </cacheField>
    <cacheField name="Total para o Cliente" numFmtId="164">
      <sharedItems containsMixedTypes="1" containsNumber="1" minValue="2.19" maxValue="219.771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stavo Esporte dos Santos" refreshedDate="43802.823800347222" createdVersion="6" refreshedVersion="6" minRefreshableVersion="3" recordCount="26" xr:uid="{274E912A-D5C7-4132-85AC-9C5872317145}">
  <cacheSource type="worksheet">
    <worksheetSource name="Tabela511"/>
  </cacheSource>
  <cacheFields count="12">
    <cacheField name="Id da Venda" numFmtId="0">
      <sharedItems containsString="0" containsBlank="1" containsNumber="1" containsInteger="1" minValue="100" maxValue="101"/>
    </cacheField>
    <cacheField name="Data" numFmtId="14">
      <sharedItems containsNonDate="0" containsDate="1" containsString="0" containsBlank="1" minDate="2015-07-05T00:00:00" maxDate="2019-12-04T00:00:00" count="3">
        <d v="2019-12-03T00:00:00"/>
        <d v="2015-07-05T00:00:00"/>
        <m/>
      </sharedItems>
    </cacheField>
    <cacheField name="Produto" numFmtId="0">
      <sharedItems containsBlank="1" count="3">
        <s v="Amendoim"/>
        <s v="Vodka"/>
        <m/>
      </sharedItems>
    </cacheField>
    <cacheField name="Medida" numFmtId="0">
      <sharedItems/>
    </cacheField>
    <cacheField name="Quantidade" numFmtId="0">
      <sharedItems containsString="0" containsBlank="1" containsNumber="1" containsInteger="1" minValue="0" maxValue="1"/>
    </cacheField>
    <cacheField name="Preço Unitário" numFmtId="44">
      <sharedItems containsMixedTypes="1" containsNumber="1" minValue="1.1499999999999999" maxValue="54.9"/>
    </cacheField>
    <cacheField name="Subtotal" numFmtId="44">
      <sharedItems containsMixedTypes="1" containsNumber="1" minValue="0" maxValue="54.9"/>
    </cacheField>
    <cacheField name="Desconto" numFmtId="9">
      <sharedItems containsNonDate="0" containsString="0" containsBlank="1"/>
    </cacheField>
    <cacheField name="Entrega" numFmtId="0">
      <sharedItems containsBlank="1" count="2">
        <m/>
        <s v="Zona Oeste"/>
      </sharedItems>
    </cacheField>
    <cacheField name="Valor de Entrega" numFmtId="44">
      <sharedItems containsMixedTypes="1" containsNumber="1" containsInteger="1" minValue="8" maxValue="8"/>
    </cacheField>
    <cacheField name="Total" numFmtId="44">
      <sharedItems containsMixedTypes="1" containsNumber="1" minValue="0" maxValue="62.9"/>
    </cacheField>
    <cacheField name="Total para o Cliente" numFmtId="164">
      <sharedItems containsMixedTypes="1" containsNumber="1" minValue="0" maxValue="62.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x v="0"/>
    <x v="0"/>
    <x v="0"/>
    <s v=""/>
    <m/>
    <s v=""/>
    <s v=""/>
    <m/>
    <x v="0"/>
    <n v="0"/>
    <x v="0"/>
    <s v=""/>
  </r>
  <r>
    <x v="0"/>
    <x v="0"/>
    <x v="1"/>
    <s v="Pacote"/>
    <n v="10"/>
    <n v="1.1499999999999999"/>
    <n v="11.5"/>
    <m/>
    <x v="0"/>
    <n v="0"/>
    <x v="1"/>
    <s v=""/>
  </r>
  <r>
    <x v="0"/>
    <x v="0"/>
    <x v="2"/>
    <s v="Pacote"/>
    <n v="1"/>
    <n v="0.79"/>
    <n v="0.79"/>
    <m/>
    <x v="0"/>
    <n v="0"/>
    <x v="2"/>
    <s v=""/>
  </r>
  <r>
    <x v="0"/>
    <x v="0"/>
    <x v="3"/>
    <s v="Kg"/>
    <n v="10"/>
    <n v="15.9"/>
    <n v="159"/>
    <n v="0.05"/>
    <x v="0"/>
    <n v="0"/>
    <x v="3"/>
    <s v=""/>
  </r>
  <r>
    <x v="0"/>
    <x v="0"/>
    <x v="4"/>
    <s v="Lata"/>
    <n v="24"/>
    <n v="2.19"/>
    <n v="52.56"/>
    <n v="0.05"/>
    <x v="0"/>
    <n v="6.5"/>
    <x v="4"/>
    <n v="219.77199999999999"/>
  </r>
  <r>
    <x v="1"/>
    <x v="1"/>
    <x v="4"/>
    <s v="Lata"/>
    <n v="1"/>
    <n v="2.19"/>
    <n v="2.19"/>
    <m/>
    <x v="1"/>
    <n v="0"/>
    <x v="5"/>
    <n v="2.19"/>
  </r>
  <r>
    <x v="2"/>
    <x v="1"/>
    <x v="4"/>
    <s v="Lata"/>
    <n v="10"/>
    <n v="2.19"/>
    <n v="21.9"/>
    <m/>
    <x v="1"/>
    <n v="0"/>
    <x v="6"/>
    <n v="21.9"/>
  </r>
  <r>
    <x v="3"/>
    <x v="1"/>
    <x v="5"/>
    <s v="Kg"/>
    <n v="6"/>
    <n v="4.28"/>
    <n v="25.68"/>
    <m/>
    <x v="1"/>
    <n v="0"/>
    <x v="7"/>
    <s v=""/>
  </r>
  <r>
    <x v="3"/>
    <x v="1"/>
    <x v="6"/>
    <s v="Litro"/>
    <n v="4"/>
    <n v="2.39"/>
    <n v="9.56"/>
    <m/>
    <x v="1"/>
    <n v="0"/>
    <x v="8"/>
    <n v="35.24"/>
  </r>
  <r>
    <x v="4"/>
    <x v="2"/>
    <x v="7"/>
    <s v="Unidade"/>
    <n v="5"/>
    <n v="2.89"/>
    <n v="14.450000000000001"/>
    <m/>
    <x v="1"/>
    <n v="0"/>
    <x v="9"/>
    <s v=""/>
  </r>
  <r>
    <x v="4"/>
    <x v="2"/>
    <x v="8"/>
    <s v="Kg"/>
    <n v="2"/>
    <n v="9.58"/>
    <n v="19.16"/>
    <m/>
    <x v="1"/>
    <n v="0"/>
    <x v="10"/>
    <s v=""/>
  </r>
  <r>
    <x v="4"/>
    <x v="2"/>
    <x v="9"/>
    <s v="Kg"/>
    <n v="1.5"/>
    <n v="25.9"/>
    <n v="38.849999999999994"/>
    <m/>
    <x v="1"/>
    <n v="0"/>
    <x v="11"/>
    <s v=""/>
  </r>
  <r>
    <x v="4"/>
    <x v="2"/>
    <x v="5"/>
    <s v="Kg"/>
    <n v="4"/>
    <n v="4.28"/>
    <n v="17.12"/>
    <m/>
    <x v="1"/>
    <n v="0"/>
    <x v="12"/>
    <n v="89.58"/>
  </r>
  <r>
    <x v="5"/>
    <x v="2"/>
    <x v="4"/>
    <s v="Lata"/>
    <n v="20"/>
    <n v="2.19"/>
    <n v="43.8"/>
    <n v="0.05"/>
    <x v="2"/>
    <n v="5"/>
    <x v="13"/>
    <n v="46.609999999999992"/>
  </r>
  <r>
    <x v="6"/>
    <x v="2"/>
    <x v="4"/>
    <s v="Lata"/>
    <n v="20"/>
    <n v="2.19"/>
    <n v="43.8"/>
    <n v="0.05"/>
    <x v="1"/>
    <n v="0"/>
    <x v="14"/>
    <n v="41.609999999999992"/>
  </r>
  <r>
    <x v="7"/>
    <x v="2"/>
    <x v="2"/>
    <s v="Pacote"/>
    <n v="2"/>
    <n v="0.79"/>
    <n v="1.58"/>
    <m/>
    <x v="1"/>
    <n v="0"/>
    <x v="15"/>
    <s v=""/>
  </r>
  <r>
    <x v="7"/>
    <x v="2"/>
    <x v="3"/>
    <s v="Kg"/>
    <n v="6"/>
    <n v="15.9"/>
    <n v="95.4"/>
    <m/>
    <x v="1"/>
    <n v="0"/>
    <x v="16"/>
    <s v=""/>
  </r>
  <r>
    <x v="7"/>
    <x v="2"/>
    <x v="4"/>
    <s v="Lata"/>
    <n v="12"/>
    <n v="2.19"/>
    <n v="26.28"/>
    <m/>
    <x v="1"/>
    <n v="0"/>
    <x v="17"/>
    <n v="123.26"/>
  </r>
  <r>
    <x v="8"/>
    <x v="3"/>
    <x v="10"/>
    <s v="Unidade"/>
    <n v="3"/>
    <n v="2.99"/>
    <n v="8.9700000000000006"/>
    <m/>
    <x v="0"/>
    <n v="6.5"/>
    <x v="18"/>
    <n v="15.47"/>
  </r>
  <r>
    <x v="9"/>
    <x v="3"/>
    <x v="11"/>
    <s v="Pacote"/>
    <n v="2"/>
    <n v="1.99"/>
    <n v="3.98"/>
    <m/>
    <x v="3"/>
    <n v="0"/>
    <x v="19"/>
    <s v=""/>
  </r>
  <r>
    <x v="9"/>
    <x v="3"/>
    <x v="12"/>
    <s v="Kg"/>
    <n v="5"/>
    <n v="2.4900000000000002"/>
    <n v="12.450000000000001"/>
    <m/>
    <x v="3"/>
    <n v="6.5"/>
    <x v="20"/>
    <n v="22.930000000000003"/>
  </r>
  <r>
    <x v="10"/>
    <x v="3"/>
    <x v="13"/>
    <s v="Litro"/>
    <n v="6"/>
    <n v="1.49"/>
    <n v="8.94"/>
    <m/>
    <x v="4"/>
    <n v="8"/>
    <x v="21"/>
    <n v="16.939999999999998"/>
  </r>
  <r>
    <x v="11"/>
    <x v="3"/>
    <x v="11"/>
    <s v="Pacote"/>
    <n v="1"/>
    <n v="1.99"/>
    <n v="1.99"/>
    <m/>
    <x v="3"/>
    <n v="6.5"/>
    <x v="22"/>
    <n v="8.49"/>
  </r>
  <r>
    <x v="12"/>
    <x v="3"/>
    <x v="12"/>
    <s v="Kg"/>
    <n v="2"/>
    <n v="2.4900000000000002"/>
    <n v="4.9800000000000004"/>
    <m/>
    <x v="1"/>
    <n v="0"/>
    <x v="23"/>
    <s v=""/>
  </r>
  <r>
    <x v="12"/>
    <x v="3"/>
    <x v="1"/>
    <s v="Pacote"/>
    <n v="3"/>
    <n v="1.1499999999999999"/>
    <n v="3.4499999999999997"/>
    <m/>
    <x v="1"/>
    <n v="0"/>
    <x v="24"/>
    <s v=""/>
  </r>
  <r>
    <x v="12"/>
    <x v="3"/>
    <x v="11"/>
    <s v="Pacote"/>
    <n v="1"/>
    <n v="1.99"/>
    <n v="1.99"/>
    <m/>
    <x v="1"/>
    <n v="0"/>
    <x v="25"/>
    <n v="10.4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n v="101"/>
    <x v="0"/>
    <x v="0"/>
    <s v="Pacote"/>
    <n v="0"/>
    <n v="1.1499999999999999"/>
    <n v="0"/>
    <m/>
    <x v="0"/>
    <s v=""/>
    <n v="0"/>
    <n v="0"/>
  </r>
  <r>
    <n v="100"/>
    <x v="1"/>
    <x v="1"/>
    <s v="Garrafa"/>
    <n v="1"/>
    <n v="54.9"/>
    <n v="54.9"/>
    <m/>
    <x v="1"/>
    <n v="8"/>
    <n v="62.9"/>
    <n v="62.9"/>
  </r>
  <r>
    <m/>
    <x v="2"/>
    <x v="2"/>
    <s v=""/>
    <m/>
    <s v=""/>
    <s v=""/>
    <m/>
    <x v="0"/>
    <s v=""/>
    <s v=""/>
    <s v=""/>
  </r>
  <r>
    <m/>
    <x v="2"/>
    <x v="2"/>
    <s v=""/>
    <m/>
    <s v=""/>
    <s v=""/>
    <m/>
    <x v="0"/>
    <s v=""/>
    <s v=""/>
    <s v=""/>
  </r>
  <r>
    <m/>
    <x v="2"/>
    <x v="2"/>
    <s v=""/>
    <m/>
    <s v=""/>
    <s v=""/>
    <m/>
    <x v="0"/>
    <s v=""/>
    <s v=""/>
    <s v=""/>
  </r>
  <r>
    <m/>
    <x v="2"/>
    <x v="2"/>
    <s v=""/>
    <m/>
    <s v=""/>
    <s v=""/>
    <m/>
    <x v="0"/>
    <s v=""/>
    <s v=""/>
    <s v=""/>
  </r>
  <r>
    <m/>
    <x v="2"/>
    <x v="2"/>
    <s v=""/>
    <m/>
    <s v=""/>
    <s v=""/>
    <m/>
    <x v="0"/>
    <s v=""/>
    <s v=""/>
    <s v=""/>
  </r>
  <r>
    <m/>
    <x v="2"/>
    <x v="2"/>
    <s v=""/>
    <m/>
    <s v=""/>
    <s v=""/>
    <m/>
    <x v="0"/>
    <s v=""/>
    <s v=""/>
    <s v=""/>
  </r>
  <r>
    <m/>
    <x v="2"/>
    <x v="2"/>
    <s v=""/>
    <m/>
    <s v=""/>
    <s v=""/>
    <m/>
    <x v="0"/>
    <s v=""/>
    <s v=""/>
    <s v=""/>
  </r>
  <r>
    <m/>
    <x v="2"/>
    <x v="2"/>
    <s v=""/>
    <m/>
    <s v=""/>
    <s v=""/>
    <m/>
    <x v="0"/>
    <s v=""/>
    <s v=""/>
    <s v=""/>
  </r>
  <r>
    <m/>
    <x v="2"/>
    <x v="2"/>
    <s v=""/>
    <m/>
    <s v=""/>
    <s v=""/>
    <m/>
    <x v="0"/>
    <s v=""/>
    <s v=""/>
    <s v=""/>
  </r>
  <r>
    <m/>
    <x v="2"/>
    <x v="2"/>
    <s v=""/>
    <m/>
    <s v=""/>
    <s v=""/>
    <m/>
    <x v="0"/>
    <s v=""/>
    <s v=""/>
    <s v=""/>
  </r>
  <r>
    <m/>
    <x v="2"/>
    <x v="2"/>
    <s v=""/>
    <m/>
    <s v=""/>
    <s v=""/>
    <m/>
    <x v="0"/>
    <s v=""/>
    <s v=""/>
    <s v=""/>
  </r>
  <r>
    <m/>
    <x v="2"/>
    <x v="2"/>
    <s v=""/>
    <m/>
    <s v=""/>
    <s v=""/>
    <m/>
    <x v="0"/>
    <s v=""/>
    <s v=""/>
    <s v=""/>
  </r>
  <r>
    <m/>
    <x v="2"/>
    <x v="2"/>
    <s v=""/>
    <m/>
    <s v=""/>
    <s v=""/>
    <m/>
    <x v="0"/>
    <s v=""/>
    <s v=""/>
    <s v=""/>
  </r>
  <r>
    <m/>
    <x v="2"/>
    <x v="2"/>
    <s v=""/>
    <m/>
    <s v=""/>
    <s v=""/>
    <m/>
    <x v="0"/>
    <s v=""/>
    <s v=""/>
    <s v=""/>
  </r>
  <r>
    <m/>
    <x v="2"/>
    <x v="2"/>
    <s v=""/>
    <m/>
    <s v=""/>
    <s v=""/>
    <m/>
    <x v="0"/>
    <s v=""/>
    <s v=""/>
    <s v=""/>
  </r>
  <r>
    <m/>
    <x v="2"/>
    <x v="2"/>
    <s v=""/>
    <m/>
    <s v=""/>
    <s v=""/>
    <m/>
    <x v="0"/>
    <s v=""/>
    <s v=""/>
    <s v=""/>
  </r>
  <r>
    <m/>
    <x v="2"/>
    <x v="2"/>
    <s v=""/>
    <m/>
    <s v=""/>
    <s v=""/>
    <m/>
    <x v="0"/>
    <s v=""/>
    <s v=""/>
    <s v=""/>
  </r>
  <r>
    <m/>
    <x v="2"/>
    <x v="2"/>
    <s v=""/>
    <m/>
    <s v=""/>
    <s v=""/>
    <m/>
    <x v="0"/>
    <s v=""/>
    <s v=""/>
    <s v=""/>
  </r>
  <r>
    <m/>
    <x v="2"/>
    <x v="2"/>
    <s v=""/>
    <m/>
    <s v=""/>
    <s v=""/>
    <m/>
    <x v="0"/>
    <s v=""/>
    <s v=""/>
    <s v=""/>
  </r>
  <r>
    <m/>
    <x v="2"/>
    <x v="2"/>
    <s v=""/>
    <m/>
    <s v=""/>
    <s v=""/>
    <m/>
    <x v="0"/>
    <s v=""/>
    <s v=""/>
    <s v=""/>
  </r>
  <r>
    <m/>
    <x v="2"/>
    <x v="2"/>
    <s v=""/>
    <m/>
    <s v=""/>
    <s v=""/>
    <m/>
    <x v="0"/>
    <s v=""/>
    <s v=""/>
    <s v=""/>
  </r>
  <r>
    <m/>
    <x v="2"/>
    <x v="2"/>
    <s v=""/>
    <m/>
    <s v=""/>
    <s v=""/>
    <m/>
    <x v="0"/>
    <s v=""/>
    <s v=""/>
    <s v=""/>
  </r>
  <r>
    <m/>
    <x v="2"/>
    <x v="2"/>
    <s v=""/>
    <m/>
    <s v=""/>
    <s v=""/>
    <m/>
    <x v="0"/>
    <s v=""/>
    <s v=""/>
    <s v=""/>
  </r>
  <r>
    <m/>
    <x v="2"/>
    <x v="2"/>
    <s v=""/>
    <m/>
    <s v=""/>
    <s v=""/>
    <m/>
    <x v="0"/>
    <s v=""/>
    <s v="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CF16C6-10BE-4476-9DE8-19F46E4764D9}" name="Tabela dinâmica3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E3:I56" firstHeaderRow="0" firstDataRow="1" firstDataCol="1"/>
  <pivotFields count="12">
    <pivotField axis="axisRow" dataField="1" showAll="0">
      <items count="14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14" showAll="0"/>
    <pivotField axis="axisRow" showAll="0">
      <items count="15">
        <item x="10"/>
        <item x="1"/>
        <item x="12"/>
        <item x="11"/>
        <item x="2"/>
        <item x="3"/>
        <item x="4"/>
        <item x="5"/>
        <item x="13"/>
        <item x="7"/>
        <item x="9"/>
        <item x="6"/>
        <item x="8"/>
        <item x="0"/>
        <item t="default"/>
      </items>
    </pivotField>
    <pivotField showAll="0"/>
    <pivotField dataField="1" showAll="0"/>
    <pivotField showAll="0"/>
    <pivotField showAll="0"/>
    <pivotField showAll="0"/>
    <pivotField axis="axisRow" showAll="0">
      <items count="6">
        <item x="2"/>
        <item x="1"/>
        <item x="3"/>
        <item x="4"/>
        <item x="0"/>
        <item t="default"/>
      </items>
    </pivotField>
    <pivotField dataField="1" numFmtId="44" showAll="0"/>
    <pivotField dataField="1" showAll="0"/>
    <pivotField showAll="0"/>
  </pivotFields>
  <rowFields count="3">
    <field x="0"/>
    <field x="8"/>
    <field x="2"/>
  </rowFields>
  <rowItems count="53">
    <i>
      <x/>
    </i>
    <i r="1">
      <x v="1"/>
    </i>
    <i r="2">
      <x v="1"/>
    </i>
    <i r="2">
      <x v="2"/>
    </i>
    <i r="2">
      <x v="3"/>
    </i>
    <i>
      <x v="1"/>
    </i>
    <i r="1">
      <x v="2"/>
    </i>
    <i r="2">
      <x v="3"/>
    </i>
    <i>
      <x v="2"/>
    </i>
    <i r="1">
      <x v="3"/>
    </i>
    <i r="2">
      <x v="8"/>
    </i>
    <i>
      <x v="3"/>
    </i>
    <i r="1">
      <x v="2"/>
    </i>
    <i r="2">
      <x v="2"/>
    </i>
    <i r="2">
      <x v="3"/>
    </i>
    <i>
      <x v="4"/>
    </i>
    <i r="1">
      <x v="4"/>
    </i>
    <i r="2">
      <x/>
    </i>
    <i>
      <x v="5"/>
    </i>
    <i r="1">
      <x v="1"/>
    </i>
    <i r="2">
      <x v="4"/>
    </i>
    <i r="2">
      <x v="5"/>
    </i>
    <i r="2">
      <x v="6"/>
    </i>
    <i>
      <x v="6"/>
    </i>
    <i r="1">
      <x v="1"/>
    </i>
    <i r="2">
      <x v="6"/>
    </i>
    <i>
      <x v="7"/>
    </i>
    <i r="1">
      <x/>
    </i>
    <i r="2">
      <x v="6"/>
    </i>
    <i>
      <x v="8"/>
    </i>
    <i r="1">
      <x v="1"/>
    </i>
    <i r="2">
      <x v="7"/>
    </i>
    <i r="2">
      <x v="9"/>
    </i>
    <i r="2">
      <x v="10"/>
    </i>
    <i r="2">
      <x v="12"/>
    </i>
    <i>
      <x v="9"/>
    </i>
    <i r="1">
      <x v="1"/>
    </i>
    <i r="2">
      <x v="7"/>
    </i>
    <i r="2">
      <x v="11"/>
    </i>
    <i>
      <x v="10"/>
    </i>
    <i r="1">
      <x v="1"/>
    </i>
    <i r="2">
      <x v="6"/>
    </i>
    <i>
      <x v="11"/>
    </i>
    <i r="1">
      <x v="1"/>
    </i>
    <i r="2">
      <x v="6"/>
    </i>
    <i>
      <x v="12"/>
    </i>
    <i r="1">
      <x v="4"/>
    </i>
    <i r="2">
      <x v="1"/>
    </i>
    <i r="2">
      <x v="4"/>
    </i>
    <i r="2">
      <x v="5"/>
    </i>
    <i r="2">
      <x v="6"/>
    </i>
    <i r="2">
      <x v="1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oma de Quantidade" fld="4" baseField="0" baseItem="0"/>
    <dataField name="Soma de Valor de Entrega" fld="9" baseField="8" baseItem="0" numFmtId="44"/>
    <dataField name="Soma de Total" fld="10" baseField="8" baseItem="0" numFmtId="44"/>
    <dataField name="Soma de Id da Venda" fld="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AB3C63-E755-404D-BD56-8812BEB8F4EE}" name="Tabela dinâmica2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28" firstHeaderRow="0" firstDataRow="1" firstDataCol="1"/>
  <pivotFields count="12">
    <pivotField showAll="0"/>
    <pivotField axis="axisRow" numFmtId="14" showAll="0">
      <items count="5">
        <item x="3"/>
        <item x="2"/>
        <item x="1"/>
        <item x="0"/>
        <item t="default"/>
      </items>
    </pivotField>
    <pivotField axis="axisRow" showAll="0">
      <items count="15">
        <item x="10"/>
        <item x="1"/>
        <item x="12"/>
        <item x="11"/>
        <item x="2"/>
        <item x="3"/>
        <item x="4"/>
        <item x="5"/>
        <item x="13"/>
        <item x="7"/>
        <item x="9"/>
        <item x="6"/>
        <item x="8"/>
        <item x="0"/>
        <item t="default"/>
      </items>
    </pivotField>
    <pivotField showAll="0"/>
    <pivotField dataField="1" showAll="0"/>
    <pivotField showAll="0"/>
    <pivotField showAll="0"/>
    <pivotField showAll="0"/>
    <pivotField showAll="0"/>
    <pivotField numFmtId="44" showAll="0"/>
    <pivotField dataField="1" showAll="0">
      <items count="27">
        <item x="2"/>
        <item x="15"/>
        <item x="25"/>
        <item x="5"/>
        <item x="24"/>
        <item x="19"/>
        <item x="23"/>
        <item x="22"/>
        <item x="8"/>
        <item x="1"/>
        <item x="9"/>
        <item x="18"/>
        <item x="21"/>
        <item x="12"/>
        <item x="20"/>
        <item x="10"/>
        <item x="6"/>
        <item x="7"/>
        <item x="17"/>
        <item x="11"/>
        <item x="14"/>
        <item x="13"/>
        <item x="4"/>
        <item x="16"/>
        <item x="3"/>
        <item x="0"/>
        <item t="default"/>
      </items>
    </pivotField>
    <pivotField showAll="0"/>
  </pivotFields>
  <rowFields count="2">
    <field x="1"/>
    <field x="2"/>
  </rowFields>
  <rowItems count="25">
    <i>
      <x/>
    </i>
    <i r="1">
      <x/>
    </i>
    <i r="1">
      <x v="1"/>
    </i>
    <i r="1">
      <x v="2"/>
    </i>
    <i r="1">
      <x v="3"/>
    </i>
    <i r="1">
      <x v="8"/>
    </i>
    <i>
      <x v="1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>
      <x v="2"/>
    </i>
    <i r="1">
      <x v="6"/>
    </i>
    <i r="1">
      <x v="7"/>
    </i>
    <i r="1">
      <x v="11"/>
    </i>
    <i>
      <x v="3"/>
    </i>
    <i r="1">
      <x v="1"/>
    </i>
    <i r="1">
      <x v="4"/>
    </i>
    <i r="1">
      <x v="5"/>
    </i>
    <i r="1">
      <x v="6"/>
    </i>
    <i r="1">
      <x v="1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6A2FCE-D153-4C0B-9782-8D3AF3AD7B48}" name="Tabela dinâmica2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10" firstHeaderRow="0" firstDataRow="1" firstDataCol="1"/>
  <pivotFields count="12">
    <pivotField showAll="0"/>
    <pivotField axis="axisRow" numFmtId="14" showAll="0">
      <items count="4">
        <item x="1"/>
        <item x="0"/>
        <item x="2"/>
        <item t="default"/>
      </items>
    </pivotField>
    <pivotField axis="axisRow" showAll="0">
      <items count="4">
        <item x="0"/>
        <item x="2"/>
        <item x="1"/>
        <item t="default"/>
      </items>
    </pivotField>
    <pivotField showAll="0"/>
    <pivotField dataField="1" showAll="0"/>
    <pivotField showAll="0"/>
    <pivotField showAll="0"/>
    <pivotField showAll="0"/>
    <pivotField showAll="0"/>
    <pivotField numFmtId="44" showAll="0"/>
    <pivotField dataField="1" showAll="0"/>
    <pivotField showAll="0"/>
  </pivotFields>
  <rowFields count="2">
    <field x="1"/>
    <field x="2"/>
  </rowFields>
  <rowItems count="7">
    <i>
      <x/>
    </i>
    <i r="1">
      <x v="2"/>
    </i>
    <i>
      <x v="1"/>
    </i>
    <i r="1">
      <x/>
    </i>
    <i>
      <x v="2"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1C03BB-08D2-46F1-B7F3-CC742BE456E7}" name="Tabela dinâmica3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E3:H9" firstHeaderRow="0" firstDataRow="1" firstDataCol="1"/>
  <pivotFields count="12">
    <pivotField showAll="0"/>
    <pivotField numFmtId="14" showAll="0"/>
    <pivotField axis="axisRow" showAll="0">
      <items count="4">
        <item x="0"/>
        <item x="2"/>
        <item x="1"/>
        <item t="default"/>
      </items>
    </pivotField>
    <pivotField showAll="0"/>
    <pivotField dataField="1"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dataField="1" numFmtId="44" showAll="0"/>
    <pivotField dataField="1" showAll="0"/>
    <pivotField showAll="0"/>
  </pivotFields>
  <rowFields count="2">
    <field x="8"/>
    <field x="2"/>
  </rowFields>
  <rowItems count="6">
    <i>
      <x/>
    </i>
    <i r="1">
      <x v="2"/>
    </i>
    <i>
      <x v="1"/>
    </i>
    <i r="1">
      <x/>
    </i>
    <i r="1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e Entrega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EE6389C-4492-4792-BC9E-55C479A7D350}" name="Tabela1" displayName="Tabela1" ref="B4:G29" totalsRowCount="1">
  <autoFilter ref="B4:G28" xr:uid="{8B5C204B-3A40-42C1-A76E-A39AF4AE0959}"/>
  <tableColumns count="6">
    <tableColumn id="1" xr3:uid="{CBD608DE-1A5B-476A-8CB7-A120C8297A76}" name="Despesas de Funcionamento" totalsRowLabel="Total Despesas de Funcionamento"/>
    <tableColumn id="2" xr3:uid="{3948E60B-2F93-4232-B88C-071849C2E9FD}" name="Itens Despesa"/>
    <tableColumn id="3" xr3:uid="{F09AF878-CFC0-4C18-A54E-E51AB4CD8DD7}" name="Data" dataDxfId="78"/>
    <tableColumn id="4" xr3:uid="{66C59711-A5CB-4800-8304-53382E3E9A71}" name="Observação "/>
    <tableColumn id="5" xr3:uid="{777697DB-A181-4F78-B77A-5B8A3AD4C0EE}" name="Valor Intermediário" totalsRowDxfId="77" dataCellStyle="Moeda"/>
    <tableColumn id="6" xr3:uid="{BEC697E1-319C-4C05-879A-D7F6A555F522}" name="Valor Final" totalsRowFunction="sum" totalsRowDxfId="76" dataCellStyle="Moeda"/>
  </tableColumns>
  <tableStyleInfo name="TableStyleMedium2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E888488-D475-4F78-A311-4B5A55AABAD5}" name="Tabela2" displayName="Tabela2" ref="C4:J27" totalsRowCount="1">
  <autoFilter ref="C4:J26" xr:uid="{7A483E7A-9489-43F3-91D1-A086DCCE1102}"/>
  <sortState xmlns:xlrd2="http://schemas.microsoft.com/office/spreadsheetml/2017/richdata2" ref="C5:J26">
    <sortCondition descending="1" ref="C4:C26"/>
  </sortState>
  <tableColumns count="8">
    <tableColumn id="1" xr3:uid="{F50BD128-2462-468F-AD91-DD9CD92EAE33}" name="Data" totalsRowLabel="Total" dataDxfId="75" totalsRowDxfId="74"/>
    <tableColumn id="2" xr3:uid="{CFDD9BE1-1FCA-4FFA-9438-9B50D4BB4FC0}" name="Fornecedor"/>
    <tableColumn id="3" xr3:uid="{5FC24650-B358-4D79-AD1A-A8881DDB3249}" name="Mercadoria"/>
    <tableColumn id="4" xr3:uid="{6CEDE3A3-4D2B-48C6-ABC5-6A503ACAF989}" name="Unidade de Medida" dataDxfId="73">
      <calculatedColumnFormula>IFERROR((VLOOKUP(Tabela2[[#This Row],[Mercadoria]],cálculos!$H$3:'cálculos'!$K$26,4,FALSE)),"")</calculatedColumnFormula>
    </tableColumn>
    <tableColumn id="5" xr3:uid="{EDE2B616-9D14-4B26-9F99-9335A6428A1E}" name="Quantidade"/>
    <tableColumn id="6" xr3:uid="{3DB87CF0-8092-428B-A9DE-80BDC4620292}" name="Preço Unitário" dataDxfId="72" totalsRowDxfId="71" dataCellStyle="Moeda">
      <calculatedColumnFormula>IFERROR((VLOOKUP(Tabela2[[#This Row],[Mercadoria]],cálculos!$H$3:'cálculos'!$K$26,2,FALSE)),"")</calculatedColumnFormula>
    </tableColumn>
    <tableColumn id="7" xr3:uid="{B450864F-ADB0-4038-A845-BE9628DE133D}" name="Desconto" dataDxfId="70">
      <calculatedColumnFormula>RAND()</calculatedColumnFormula>
    </tableColumn>
    <tableColumn id="8" xr3:uid="{C4AE1CB2-A69A-4B2F-9CC9-3E2E3C7349BA}" name="Valor Pago" totalsRowFunction="sum" dataDxfId="69" totalsRowDxfId="68" dataCellStyle="Moeda">
      <calculatedColumnFormula>IFERROR(Tabela2[[#This Row],[Quantidade]]*Tabela2[[#This Row],[Preço Unitário]]*(1-Tabela2[[#This Row],[Desconto]]),0)</calculatedColumnFormula>
    </tableColumn>
  </tableColumns>
  <tableStyleInfo name="TableStyleMedium6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3BF3AD1-95CA-48DF-ACA4-51AE59D76EB0}" name="Tabela4" displayName="Tabela4" ref="B4:H28">
  <autoFilter ref="B4:H28" xr:uid="{1CC00679-750C-4E8E-9C17-D07CBF2D0D6F}"/>
  <tableColumns count="7">
    <tableColumn id="1" xr3:uid="{94920865-6A7E-42DF-805D-B0F1B7058917}" name="Produto" totalsRowLabel="Total"/>
    <tableColumn id="2" xr3:uid="{C6E88BF5-848A-468E-AF4C-117E7928B64F}" name="Data da Última Compra" dataDxfId="64">
      <calculatedColumnFormula>IFERROR(INDEX(Tabela2[[Data]:[Mercadoria]],MATCH(Tabela4[[#This Row],[Produto]],Tabela2[Mercadoria],0),1),"")</calculatedColumnFormula>
    </tableColumn>
    <tableColumn id="7" xr3:uid="{B1F210AE-174A-4BCD-851F-E9584C71C630}" name="Quantidade Inicial"/>
    <tableColumn id="3" xr3:uid="{81584A08-E371-49D6-84D0-74E4521C73E8}" name="Quantidade Comprada">
      <calculatedColumnFormula>SUMIF(Tabela2[Mercadoria],Tabela4[[#This Row],[Produto]],Tabela2[Quantidade])</calculatedColumnFormula>
    </tableColumn>
    <tableColumn id="4" xr3:uid="{C16231DC-4AFF-4A06-9D5E-920C2F6D694D}" name="Quantidade Vendida" dataDxfId="63">
      <calculatedColumnFormula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calculatedColumnFormula>
    </tableColumn>
    <tableColumn id="5" xr3:uid="{1206D2B1-FC0F-4A1B-9259-25CD3D613CEF}" name="Quantidade Atual" dataDxfId="62">
      <calculatedColumnFormula>SUM(Tabela4[[#This Row],[Quantidade Inicial]:[Quantidade Comprada]])-Tabela4[[#This Row],[Quantidade Vendida]]</calculatedColumnFormula>
    </tableColumn>
    <tableColumn id="6" xr3:uid="{A2FD714A-5CAA-45C3-B34E-9C1399888118}" name="Situação" totalsRowFunction="count" dataDxfId="61">
      <calculatedColumnFormula>IF(Tabela4[[#This Row],[Quantidade Atual]]&lt;50,IF(Tabela4[[#This Row],[Quantidade Atual]]&lt;21,"Comprar","Atenção"),"Ok")</calculatedColumnFormula>
    </tableColumn>
  </tableColumns>
  <tableStyleInfo name="TableStyleMedium2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F1D662-E195-4BA6-BD8F-FEC444D0A03F}" name="Tabela3" displayName="Tabela3" ref="B4:E10" totalsRowCount="1">
  <autoFilter ref="B4:E9" xr:uid="{1B021DC2-FA95-4485-9A10-BBD55072789A}"/>
  <tableColumns count="4">
    <tableColumn id="1" xr3:uid="{F60F4714-8FCA-42BA-887B-17A73AF6FE09}" name="Investimentos" totalsRowLabel="Total"/>
    <tableColumn id="2" xr3:uid="{AE2FB303-E59B-4CAF-9EFD-071356A7E98F}" name="Data" dataDxfId="60"/>
    <tableColumn id="3" xr3:uid="{EE15F658-47F4-4B65-832E-03AA90D4F8D8}" name="Descrição" dataDxfId="59" totalsRowDxfId="58"/>
    <tableColumn id="4" xr3:uid="{B0EB698D-ACE7-4B15-97EB-1B9A21093F50}" name="Valor" totalsRowFunction="sum" totalsRowDxfId="57" dataCellStyle="Moeda"/>
  </tableColumns>
  <tableStyleInfo name="TableStyleMedium2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FC642C5-58EE-4DFA-81AD-4C2265E9B857}" name="Tabela5" displayName="Tabela5" ref="C4:N30" insertRowShift="1" totalsRowCount="1">
  <autoFilter ref="C4:N29" xr:uid="{859EAD7E-B6FE-4590-8B72-080FE15AECEE}"/>
  <tableColumns count="12">
    <tableColumn id="1" xr3:uid="{4510E38C-3389-4F2E-9620-0BAC5E8F913E}" name="Id da Venda" totalsRowLabel="Total"/>
    <tableColumn id="2" xr3:uid="{F5F98E97-A428-4DD4-BA60-4570EE489275}" name="Data" dataDxfId="54"/>
    <tableColumn id="3" xr3:uid="{7A5C8EA3-8DD6-4D1F-B4F1-77310BB9D80F}" name="Produto"/>
    <tableColumn id="4" xr3:uid="{96D33858-6232-4A3B-A25A-46BE2327BDBF}" name="Medida" dataDxfId="53">
      <calculatedColumnFormula>IFERROR(VLOOKUP(Tabela5[[#This Row],[Produto]],cálculos!$H$3:$K$26,4,0),"")</calculatedColumnFormula>
    </tableColumn>
    <tableColumn id="5" xr3:uid="{5C6136B2-C3A3-4008-B668-90618235B853}" name="Quantidade"/>
    <tableColumn id="6" xr3:uid="{0895B88F-A1E6-47B6-BCE0-3C63F9CE7910}" name="Preço Unitário" dataDxfId="52" totalsRowDxfId="51" dataCellStyle="Moeda">
      <calculatedColumnFormula>IFERROR(VLOOKUP(Tabela5[[#This Row],[Produto]],cálculos!$H$3:$K$26,3,0),"")</calculatedColumnFormula>
    </tableColumn>
    <tableColumn id="7" xr3:uid="{A8384219-3E7D-42CC-85B5-6D876D71AD6B}" name="Subtotal" totalsRowDxfId="50" dataCellStyle="Moeda">
      <calculatedColumnFormula>IFERROR(Tabela5[[#This Row],[Preço Unitário]]*Tabela5[[#This Row],[Quantidade]],"")</calculatedColumnFormula>
    </tableColumn>
    <tableColumn id="8" xr3:uid="{B0D31CBA-C1EA-4F3A-8AD1-3D256558CFBD}" name="Desconto" totalsRowDxfId="49" dataCellStyle="Porcentagem"/>
    <tableColumn id="9" xr3:uid="{A7D69080-27A8-4430-839A-DFB288A0CE47}" name="Entrega"/>
    <tableColumn id="10" xr3:uid="{CC1F5777-B2CF-4207-8727-94FAC61FC16F}" name="Valor de Entrega" totalsRowFunction="sum" dataDxfId="48" totalsRowDxfId="47" dataCellStyle="Moeda">
      <calculatedColumnFormula>IFERROR(IF(Tabela5[[#This Row],[Entrega]]=K6,0,VLOOKUP(Tabela5[[#This Row],[Entrega]],cálculos!$A$3:$B$7,2,0)),0)</calculatedColumnFormula>
    </tableColumn>
    <tableColumn id="11" xr3:uid="{AFBB2901-C410-48F0-934D-323CB845D73D}" name="Total" dataDxfId="46">
      <calculatedColumnFormula>IFERROR(SUM(Tabela5[[#This Row],[Subtotal]]*(1-Tabela5[[#This Row],[Desconto]]),Tabela5[[#This Row],[Valor de Entrega]]),"")</calculatedColumnFormula>
    </tableColumn>
    <tableColumn id="12" xr3:uid="{73E330BC-29E2-4283-9B3C-6632E7953BAD}" name="Total para o Cliente" totalsRowFunction="sum" dataDxfId="45" totalsRowDxfId="44">
      <calculatedColumnFormula>IFERROR(IF(Tabela5[[#This Row],[Id da Venda]]=C6,"",SUMIF(Tabela5[Id da Venda],Tabela5[[#This Row],[Id da Venda]],Tabela5[Total])),"")</calculatedColumnFormula>
    </tableColumn>
  </tableColumns>
  <tableStyleInfo name="TableStyleMedium7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EB1E161-888A-4B19-9389-6DF82FCA7076}" name="Tabela511" displayName="Tabela511" ref="C4:N31" insertRowShift="1" totalsRowCount="1">
  <autoFilter ref="C4:N30" xr:uid="{19BB4B86-694F-4E23-BEE2-6E06F1F00746}"/>
  <tableColumns count="12">
    <tableColumn id="1" xr3:uid="{B7454CCC-9414-45A5-8FC7-575B3A0D849F}" name="Id da Venda" totalsRowLabel="Total"/>
    <tableColumn id="2" xr3:uid="{3AEB9D44-B709-4DF0-ABD7-F33611396AB9}" name="Data" dataDxfId="43"/>
    <tableColumn id="3" xr3:uid="{2F3499C2-8BD4-4178-81B0-0F74B78DE2D4}" name="Produto"/>
    <tableColumn id="4" xr3:uid="{A6E55325-1792-4026-89B0-BF91D3C0ABA9}" name="Medida" dataDxfId="42">
      <calculatedColumnFormula>IFERROR(VLOOKUP(Tabela511[[#This Row],[Produto]],cálculos!$H$3:$K$26,4,0),"")</calculatedColumnFormula>
    </tableColumn>
    <tableColumn id="5" xr3:uid="{A3213595-5DDA-47B5-A124-AF74A71F8F01}" name="Quantidade"/>
    <tableColumn id="6" xr3:uid="{2A26FB1D-50DE-4EB6-A177-C8BB037CBC11}" name="Preço Unitário" dataDxfId="41" totalsRowDxfId="40" dataCellStyle="Moeda">
      <calculatedColumnFormula>IFERROR(VLOOKUP(Tabela511[[#This Row],[Produto]],cálculos!$H$3:$K$26,3,0),"")</calculatedColumnFormula>
    </tableColumn>
    <tableColumn id="7" xr3:uid="{6FB73157-ED0E-4DCC-AC8C-3FB8450DFDFA}" name="Subtotal" totalsRowDxfId="39" dataCellStyle="Moeda">
      <calculatedColumnFormula>IFERROR(Tabela511[[#This Row],[Preço Unitário]]*Tabela511[[#This Row],[Quantidade]],"")</calculatedColumnFormula>
    </tableColumn>
    <tableColumn id="8" xr3:uid="{C514C607-9257-4A09-AB35-5B8FBCE50CE3}" name="Desconto" totalsRowDxfId="38" dataCellStyle="Porcentagem"/>
    <tableColumn id="9" xr3:uid="{53F12EBF-B35B-424E-9D8E-E6583B159CF7}" name="Entrega"/>
    <tableColumn id="10" xr3:uid="{497AD6C5-F00B-48F8-A6BC-489C71CB61A1}" name="Valor de Entrega" totalsRowFunction="sum" dataDxfId="37" totalsRowDxfId="36" dataCellStyle="Moeda">
      <calculatedColumnFormula>IFERROR(IF(Tabela511[[#This Row],[Entrega]]=K6,"",VLOOKUP(Tabela511[[#This Row],[Entrega]],cálculos!$A$3:$B$7,2,0)),"")</calculatedColumnFormula>
    </tableColumn>
    <tableColumn id="11" xr3:uid="{61915F40-6EBC-4D2B-8A9E-73BFADC71EBD}" name="Total" dataDxfId="35">
      <calculatedColumnFormula>IFERROR(SUM(Tabela511[[#This Row],[Subtotal]]*(1-Tabela511[[#This Row],[Desconto]]),Tabela511[[#This Row],[Valor de Entrega]]),"")</calculatedColumnFormula>
    </tableColumn>
    <tableColumn id="12" xr3:uid="{5C2282C5-7C0D-4968-B180-6FB7399667CE}" name="Total para o Cliente" totalsRowFunction="sum" dataDxfId="34" totalsRowDxfId="33">
      <calculatedColumnFormula>IFERROR(IF(Tabela511[[#This Row],[Id da Venda]]=C6,"",SUMIF(Tabela511[Id da Venda],Tabela511[[#This Row],[Id da Venda]],Tabela511[Total])),"")</calculatedColumnFormula>
    </tableColumn>
  </tableColumns>
  <tableStyleInfo name="TableStyleMedium7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1460DF0-E064-48A5-9314-69A873729EAE}" name="Tabela51112" displayName="Tabela51112" ref="C4:N30" insertRowShift="1" totalsRowCount="1">
  <autoFilter ref="C4:N29" xr:uid="{B5779FBA-9853-4DE4-97D7-A61F31D1E160}"/>
  <tableColumns count="12">
    <tableColumn id="1" xr3:uid="{158167C5-71D3-432B-BB8B-70EA2611481A}" name="Id da Venda" totalsRowLabel="Total"/>
    <tableColumn id="2" xr3:uid="{9A129BB5-FEFA-462B-911F-50EAD64354E6}" name="Data" dataDxfId="32"/>
    <tableColumn id="3" xr3:uid="{ABC31E9F-0088-4597-9566-15AE0483CEFB}" name="Produto"/>
    <tableColumn id="4" xr3:uid="{B6599B4C-5548-45AC-9106-E94284D1D1FB}" name="Medida" dataDxfId="31">
      <calculatedColumnFormula>IFERROR(VLOOKUP(Tabela51112[[#This Row],[Produto]],cálculos!$H$3:$K$26,4,0),"")</calculatedColumnFormula>
    </tableColumn>
    <tableColumn id="5" xr3:uid="{B0AFC5DD-EFC0-4FCC-8234-3E6C87FDBC60}" name="Quantidade"/>
    <tableColumn id="6" xr3:uid="{5DD7AD77-815B-4317-A793-7DDE16419306}" name="Preço Unitário" dataDxfId="30" totalsRowDxfId="29" dataCellStyle="Moeda">
      <calculatedColumnFormula>IFERROR(VLOOKUP(Tabela51112[[#This Row],[Produto]],cálculos!$H$3:$K$26,3,0),"")</calculatedColumnFormula>
    </tableColumn>
    <tableColumn id="7" xr3:uid="{91AB7646-B88F-42D2-8192-F1A35C1AAC14}" name="Subtotal" totalsRowDxfId="28" dataCellStyle="Moeda">
      <calculatedColumnFormula>IFERROR(Tabela51112[[#This Row],[Preço Unitário]]*Tabela51112[[#This Row],[Quantidade]],"")</calculatedColumnFormula>
    </tableColumn>
    <tableColumn id="8" xr3:uid="{48157A86-0D21-4517-A152-A218A46F4FB8}" name="Desconto" totalsRowDxfId="27" dataCellStyle="Porcentagem"/>
    <tableColumn id="9" xr3:uid="{C88ACA5D-98A8-4112-A0D7-9E1F4877345E}" name="Entrega"/>
    <tableColumn id="10" xr3:uid="{B974DA33-2C16-49EE-9251-A206157FF94D}" name="Valor de Entrega" totalsRowFunction="sum" dataDxfId="26" totalsRowDxfId="25" dataCellStyle="Moeda">
      <calculatedColumnFormula>IFERROR(IF(Tabela51112[[#This Row],[Entrega]]=K6,"",VLOOKUP(Tabela51112[[#This Row],[Entrega]],cálculos!$A$3:$B$7,2,0)),"")</calculatedColumnFormula>
    </tableColumn>
    <tableColumn id="11" xr3:uid="{38E32ABA-02A1-4A10-8957-10734D095F1A}" name="Total" dataDxfId="24">
      <calculatedColumnFormula>IFERROR(SUM(Tabela51112[[#This Row],[Subtotal]]*(1-Tabela51112[[#This Row],[Desconto]]),Tabela51112[[#This Row],[Valor de Entrega]]),"")</calculatedColumnFormula>
    </tableColumn>
    <tableColumn id="12" xr3:uid="{A642DE73-B90D-4003-A4E9-DD6FD032D79B}" name="Total para o Cliente" totalsRowFunction="sum" dataDxfId="23" totalsRowDxfId="22">
      <calculatedColumnFormula>IFERROR(IF(Tabela51112[[#This Row],[Id da Venda]]=C6,"",SUMIF(Tabela51112[Id da Venda],Tabela51112[[#This Row],[Id da Venda]],Tabela51112[Total])),"")</calculatedColumnFormula>
    </tableColumn>
  </tableColumns>
  <tableStyleInfo name="TableStyleMedium7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2D3472C-A857-4A57-8AC0-6121D71620FD}" name="Tabela511127" displayName="Tabela511127" ref="C4:N30" insertRowShift="1" totalsRowCount="1">
  <autoFilter ref="C4:N29" xr:uid="{C8401F9F-5922-4C91-84E7-62185C7F7798}"/>
  <tableColumns count="12">
    <tableColumn id="1" xr3:uid="{054493AE-1E3F-4949-8034-F0848AA1D7D6}" name="Id da Venda" totalsRowLabel="Total"/>
    <tableColumn id="2" xr3:uid="{86D7AD54-BE53-4835-856D-C6DD0E9A239B}" name="Data" dataDxfId="21"/>
    <tableColumn id="3" xr3:uid="{133104FE-53FA-4CA3-82FC-0E9FEE85E251}" name="Produto"/>
    <tableColumn id="4" xr3:uid="{8AA4D203-CCCA-41C9-9214-46BE7DF355A7}" name="Medida" dataDxfId="20">
      <calculatedColumnFormula>IFERROR(VLOOKUP(Tabela511127[[#This Row],[Produto]],cálculos!$H$3:$K$26,4,0),"")</calculatedColumnFormula>
    </tableColumn>
    <tableColumn id="5" xr3:uid="{519C996D-60D7-4C64-BFBC-19F99145E294}" name="Quantidade"/>
    <tableColumn id="6" xr3:uid="{4BA707A8-A637-4BA1-A4B5-3F319CF21BC0}" name="Preço Unitário" dataDxfId="19" totalsRowDxfId="18" dataCellStyle="Moeda">
      <calculatedColumnFormula>IFERROR(VLOOKUP(Tabela511127[[#This Row],[Produto]],cálculos!$H$3:$K$26,3,0),"")</calculatedColumnFormula>
    </tableColumn>
    <tableColumn id="7" xr3:uid="{0BFCCF99-16B7-4EA7-AB84-08BE616E488A}" name="Subtotal" totalsRowDxfId="17" dataCellStyle="Moeda">
      <calculatedColumnFormula>IFERROR(Tabela511127[[#This Row],[Preço Unitário]]*Tabela511127[[#This Row],[Quantidade]],"")</calculatedColumnFormula>
    </tableColumn>
    <tableColumn id="8" xr3:uid="{1ED01357-25FA-4169-BE10-9243F286FAEE}" name="Desconto" totalsRowDxfId="16" dataCellStyle="Porcentagem"/>
    <tableColumn id="9" xr3:uid="{BC2F37E8-559B-47C8-9C23-D1D69388C06D}" name="Entrega"/>
    <tableColumn id="10" xr3:uid="{381DBD22-8CFB-4EB5-A4C9-1F839C138985}" name="Valor de Entrega" totalsRowFunction="sum" dataDxfId="15" totalsRowDxfId="14" dataCellStyle="Moeda">
      <calculatedColumnFormula>IFERROR(IF(Tabela511127[[#This Row],[Entrega]]=K6,"",VLOOKUP(Tabela511127[[#This Row],[Entrega]],cálculos!$A$3:$B$7,2,0)),"")</calculatedColumnFormula>
    </tableColumn>
    <tableColumn id="11" xr3:uid="{5CB96C1A-6DF0-48FC-8EA1-E516BB2ACA6C}" name="Total" dataDxfId="13">
      <calculatedColumnFormula>IFERROR(SUM(Tabela511127[[#This Row],[Subtotal]]*(1-Tabela511127[[#This Row],[Desconto]]),Tabela511127[[#This Row],[Valor de Entrega]]),"")</calculatedColumnFormula>
    </tableColumn>
    <tableColumn id="12" xr3:uid="{DD36223D-B3C1-474F-8C39-743A4AF6683D}" name="Total para o Cliente" totalsRowFunction="sum" dataDxfId="12" totalsRowDxfId="11">
      <calculatedColumnFormula>IFERROR(IF(Tabela511127[[#This Row],[Id da Venda]]=C6,"",SUMIF(Tabela511127[Id da Venda],Tabela511127[[#This Row],[Id da Venda]],Tabela511127[Total])),"")</calculatedColumnFormula>
    </tableColumn>
  </tableColumns>
  <tableStyleInfo name="TableStyleMedium7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3E791D6-3B5C-4E5C-BAC0-177DB611F231}" name="Tabela511128" displayName="Tabela511128" ref="C4:N30" insertRowShift="1" totalsRowCount="1">
  <autoFilter ref="C4:N29" xr:uid="{0D0D7C8C-702A-41C1-BCA8-FA6AF2B4B381}"/>
  <tableColumns count="12">
    <tableColumn id="1" xr3:uid="{15821C44-8C0B-4A85-8AEE-289956CC6E04}" name="Id da Venda" totalsRowLabel="Total"/>
    <tableColumn id="2" xr3:uid="{C98E1836-1B02-43CB-A00B-79BC739099F3}" name="Data" dataDxfId="10"/>
    <tableColumn id="3" xr3:uid="{61C6F692-7B6B-42A2-AB93-786E0CA4D5D0}" name="Produto"/>
    <tableColumn id="4" xr3:uid="{71484747-D47A-4173-AD93-0E5B4F6A8E9B}" name="Medida" dataDxfId="9">
      <calculatedColumnFormula>IFERROR(VLOOKUP(Tabela511128[[#This Row],[Produto]],cálculos!$H$3:$K$26,4,0),"")</calculatedColumnFormula>
    </tableColumn>
    <tableColumn id="5" xr3:uid="{2623D896-CF13-496A-8532-412CE45DF3A0}" name="Quantidade"/>
    <tableColumn id="6" xr3:uid="{63CD90B3-A2B7-475B-A6C4-33E17DA12DA0}" name="Preço Unitário" dataDxfId="8" totalsRowDxfId="7" dataCellStyle="Moeda">
      <calculatedColumnFormula>IFERROR(VLOOKUP(Tabela511128[[#This Row],[Produto]],cálculos!$H$3:$K$26,3,0),"")</calculatedColumnFormula>
    </tableColumn>
    <tableColumn id="7" xr3:uid="{A23B0A1A-21D5-4D8A-BD82-D70309843B7E}" name="Subtotal" totalsRowDxfId="6" dataCellStyle="Moeda">
      <calculatedColumnFormula>IFERROR(Tabela511128[[#This Row],[Preço Unitário]]*Tabela511128[[#This Row],[Quantidade]],"")</calculatedColumnFormula>
    </tableColumn>
    <tableColumn id="8" xr3:uid="{F5357D3D-3D3E-432E-BFE2-C7DE2C9AA7FA}" name="Desconto" totalsRowDxfId="5" dataCellStyle="Porcentagem"/>
    <tableColumn id="9" xr3:uid="{FEB3DF05-CCB7-454E-8002-B1206E9C99F2}" name="Entrega"/>
    <tableColumn id="10" xr3:uid="{60DAB8A3-C422-46F9-A004-89E9FF07C81C}" name="Valor de Entrega" totalsRowFunction="sum" dataDxfId="4" totalsRowDxfId="3" dataCellStyle="Moeda">
      <calculatedColumnFormula>IFERROR(IF(Tabela511128[[#This Row],[Entrega]]=K6,"",VLOOKUP(Tabela511128[[#This Row],[Entrega]],cálculos!$A$3:$B$7,2,0)),"")</calculatedColumnFormula>
    </tableColumn>
    <tableColumn id="11" xr3:uid="{99C910AB-B0F6-456B-8669-DECAF9FC486C}" name="Total" dataDxfId="2">
      <calculatedColumnFormula>IFERROR(SUM(Tabela511128[[#This Row],[Subtotal]]*(1-Tabela511128[[#This Row],[Desconto]]),Tabela511128[[#This Row],[Valor de Entrega]]),"")</calculatedColumnFormula>
    </tableColumn>
    <tableColumn id="12" xr3:uid="{ED633A30-188B-4327-96F7-12DFD76EDEF1}" name="Total para o Cliente" totalsRowFunction="sum" dataDxfId="1" totalsRowDxfId="0">
      <calculatedColumnFormula>IFERROR(IF(Tabela511128[[#This Row],[Id da Venda]]=C6,"",SUMIF(Tabela511128[Id da Venda],Tabela511128[[#This Row],[Id da Venda]],Tabela511128[Total])),"")</calculatedColumnFormula>
    </tableColumn>
  </tableColumns>
  <tableStyleInfo name="TableStyleMedium7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0" dT="2019-12-02T22:24:14.07" personId="{671658E8-5894-4148-A1C4-F809197B392C}" id="{B0868505-CCCD-4D63-AE3C-3E860ADA6DE9}">
    <text>Colocar descrição da despesa na coluna da observação</text>
  </threadedComment>
  <threadedComment ref="C18" dT="2019-12-02T22:24:14.07" personId="{671658E8-5894-4148-A1C4-F809197B392C}" id="{C0D6DA4E-9A4A-48AA-826C-1C6A7DE78CCC}">
    <text>Colocar descrição da despesa na coluna da observação</text>
  </threadedComment>
  <threadedComment ref="C26" dT="2019-12-02T22:24:14.07" personId="{671658E8-5894-4148-A1C4-F809197B392C}" id="{1F9D2AF9-91E1-40C7-9D32-AFCC7BAF4396}">
    <text>Colocar descrição da despesa na coluna da observação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8" dT="2019-12-02T22:39:20.11" personId="{671658E8-5894-4148-A1C4-F809197B392C}" id="{98924C7D-D39D-4EFD-8CA2-A293D7D2611C}">
    <text>Imposto considerado de 15%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L17"/>
  <sheetViews>
    <sheetView showGridLines="0" zoomScaleNormal="100" workbookViewId="0"/>
  </sheetViews>
  <sheetFormatPr defaultRowHeight="14.4" x14ac:dyDescent="0.3"/>
  <sheetData>
    <row r="1" spans="2:12" ht="15" thickBot="1" x14ac:dyDescent="0.35"/>
    <row r="2" spans="2:12" ht="24.6" thickTop="1" thickBot="1" x14ac:dyDescent="0.5">
      <c r="B2" s="69" t="s">
        <v>38</v>
      </c>
      <c r="C2" s="70"/>
      <c r="D2" s="70"/>
      <c r="E2" s="70"/>
      <c r="F2" s="70"/>
      <c r="G2" s="70"/>
      <c r="H2" s="70"/>
      <c r="I2" s="70"/>
      <c r="J2" s="70"/>
      <c r="K2" s="70"/>
      <c r="L2" s="71"/>
    </row>
    <row r="3" spans="2:12" ht="15" thickTop="1" x14ac:dyDescent="0.3">
      <c r="B3" s="2"/>
      <c r="C3" s="3"/>
      <c r="D3" s="3"/>
      <c r="E3" s="3"/>
      <c r="F3" s="3"/>
      <c r="G3" s="3"/>
      <c r="H3" s="3"/>
      <c r="I3" s="3"/>
      <c r="J3" s="3"/>
      <c r="K3" s="3"/>
      <c r="L3" s="4"/>
    </row>
    <row r="4" spans="2:12" x14ac:dyDescent="0.3">
      <c r="B4" s="5"/>
      <c r="C4" s="1"/>
      <c r="D4" s="1"/>
      <c r="E4" s="1"/>
      <c r="F4" s="1"/>
      <c r="G4" s="1"/>
      <c r="H4" s="1"/>
      <c r="I4" s="1"/>
      <c r="J4" s="1"/>
      <c r="K4" s="1"/>
      <c r="L4" s="6"/>
    </row>
    <row r="5" spans="2:12" x14ac:dyDescent="0.3">
      <c r="B5" s="5"/>
      <c r="C5" s="1"/>
      <c r="D5" s="1"/>
      <c r="E5" s="1"/>
      <c r="F5" s="1"/>
      <c r="G5" s="1"/>
      <c r="H5" s="1"/>
      <c r="I5" s="1"/>
      <c r="J5" s="1"/>
      <c r="K5" s="1"/>
      <c r="L5" s="6"/>
    </row>
    <row r="6" spans="2:12" x14ac:dyDescent="0.3">
      <c r="B6" s="5"/>
      <c r="C6" s="1"/>
      <c r="D6" s="1"/>
      <c r="E6" s="1"/>
      <c r="F6" s="1"/>
      <c r="G6" s="1"/>
      <c r="H6" s="1"/>
      <c r="I6" s="1"/>
      <c r="J6" s="1"/>
      <c r="K6" s="1"/>
      <c r="L6" s="6"/>
    </row>
    <row r="7" spans="2:12" x14ac:dyDescent="0.3">
      <c r="B7" s="5"/>
      <c r="C7" s="1"/>
      <c r="D7" s="1"/>
      <c r="E7" s="1"/>
      <c r="F7" s="1"/>
      <c r="G7" s="1"/>
      <c r="H7" s="1"/>
      <c r="I7" s="1"/>
      <c r="J7" s="1"/>
      <c r="K7" s="1"/>
      <c r="L7" s="6"/>
    </row>
    <row r="8" spans="2:12" x14ac:dyDescent="0.3">
      <c r="B8" s="5"/>
      <c r="C8" s="1"/>
      <c r="D8" s="1"/>
      <c r="E8" s="1"/>
      <c r="F8" s="1"/>
      <c r="G8" s="1"/>
      <c r="H8" s="1"/>
      <c r="I8" s="1"/>
      <c r="J8" s="1"/>
      <c r="K8" s="1"/>
      <c r="L8" s="6"/>
    </row>
    <row r="9" spans="2:12" x14ac:dyDescent="0.3">
      <c r="B9" s="5"/>
      <c r="C9" s="1"/>
      <c r="D9" s="1"/>
      <c r="E9" s="1"/>
      <c r="F9" s="1"/>
      <c r="G9" s="1"/>
      <c r="H9" s="1"/>
      <c r="I9" s="1"/>
      <c r="J9" s="1"/>
      <c r="K9" s="1"/>
      <c r="L9" s="6"/>
    </row>
    <row r="10" spans="2:12" x14ac:dyDescent="0.3">
      <c r="B10" s="5"/>
      <c r="C10" s="1"/>
      <c r="D10" s="1"/>
      <c r="E10" s="1"/>
      <c r="F10" s="1"/>
      <c r="G10" s="1"/>
      <c r="H10" s="1"/>
      <c r="I10" s="1"/>
      <c r="J10" s="1"/>
      <c r="K10" s="1"/>
      <c r="L10" s="6"/>
    </row>
    <row r="11" spans="2:12" x14ac:dyDescent="0.3">
      <c r="B11" s="5"/>
      <c r="C11" s="1"/>
      <c r="D11" s="1"/>
      <c r="E11" s="1"/>
      <c r="F11" s="1"/>
      <c r="G11" s="1"/>
      <c r="H11" s="1"/>
      <c r="I11" s="1"/>
      <c r="J11" s="1"/>
      <c r="K11" s="1"/>
      <c r="L11" s="6"/>
    </row>
    <row r="12" spans="2:12" x14ac:dyDescent="0.3">
      <c r="B12" s="5"/>
      <c r="C12" s="1"/>
      <c r="D12" s="1"/>
      <c r="E12" s="1"/>
      <c r="F12" s="1"/>
      <c r="G12" s="1"/>
      <c r="H12" s="1"/>
      <c r="I12" s="1"/>
      <c r="J12" s="1"/>
      <c r="K12" s="1"/>
      <c r="L12" s="6"/>
    </row>
    <row r="13" spans="2:12" x14ac:dyDescent="0.3">
      <c r="B13" s="5"/>
      <c r="C13" s="1"/>
      <c r="D13" s="1"/>
      <c r="E13" s="1"/>
      <c r="F13" s="1"/>
      <c r="G13" s="1"/>
      <c r="H13" s="1"/>
      <c r="I13" s="1"/>
      <c r="J13" s="1"/>
      <c r="K13" s="1"/>
      <c r="L13" s="6"/>
    </row>
    <row r="14" spans="2:12" x14ac:dyDescent="0.3">
      <c r="B14" s="5"/>
      <c r="C14" s="1"/>
      <c r="D14" s="1"/>
      <c r="E14" s="1"/>
      <c r="F14" s="1"/>
      <c r="G14" s="1"/>
      <c r="H14" s="1"/>
      <c r="I14" s="1"/>
      <c r="J14" s="1"/>
      <c r="K14" s="1"/>
      <c r="L14" s="6"/>
    </row>
    <row r="15" spans="2:12" x14ac:dyDescent="0.3">
      <c r="B15" s="5"/>
      <c r="C15" s="1"/>
      <c r="D15" s="1"/>
      <c r="E15" s="1"/>
      <c r="F15" s="1"/>
      <c r="G15" s="1"/>
      <c r="H15" s="1"/>
      <c r="I15" s="1"/>
      <c r="J15" s="1"/>
      <c r="K15" s="1"/>
      <c r="L15" s="6"/>
    </row>
    <row r="16" spans="2:12" ht="15" thickBot="1" x14ac:dyDescent="0.35">
      <c r="B16" s="7"/>
      <c r="C16" s="8"/>
      <c r="D16" s="8"/>
      <c r="E16" s="8"/>
      <c r="F16" s="8"/>
      <c r="G16" s="8"/>
      <c r="H16" s="8"/>
      <c r="I16" s="8"/>
      <c r="J16" s="8"/>
      <c r="K16" s="8"/>
      <c r="L16" s="9"/>
    </row>
    <row r="17" ht="15" thickTop="1" x14ac:dyDescent="0.3"/>
  </sheetData>
  <mergeCells count="1">
    <mergeCell ref="B2:L2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2:G31"/>
  <sheetViews>
    <sheetView showGridLines="0" workbookViewId="0">
      <selection activeCell="G29" sqref="G29"/>
    </sheetView>
  </sheetViews>
  <sheetFormatPr defaultRowHeight="14.4" x14ac:dyDescent="0.3"/>
  <cols>
    <col min="2" max="2" width="27.44140625" bestFit="1" customWidth="1"/>
    <col min="3" max="3" width="24.21875" bestFit="1" customWidth="1"/>
    <col min="4" max="4" width="7.109375" bestFit="1" customWidth="1"/>
    <col min="5" max="5" width="23.44140625" bestFit="1" customWidth="1"/>
    <col min="6" max="6" width="19.77734375" bestFit="1" customWidth="1"/>
    <col min="7" max="7" width="13.109375" bestFit="1" customWidth="1"/>
  </cols>
  <sheetData>
    <row r="2" spans="1:7" s="10" customFormat="1" ht="28.05" customHeight="1" x14ac:dyDescent="0.3">
      <c r="B2" s="10" t="s">
        <v>39</v>
      </c>
    </row>
    <row r="3" spans="1:7" ht="24.6" customHeight="1" x14ac:dyDescent="0.3"/>
    <row r="4" spans="1:7" x14ac:dyDescent="0.3">
      <c r="B4" t="s">
        <v>40</v>
      </c>
      <c r="C4" t="s">
        <v>41</v>
      </c>
      <c r="D4" t="s">
        <v>42</v>
      </c>
      <c r="E4" t="s">
        <v>43</v>
      </c>
      <c r="F4" t="s">
        <v>44</v>
      </c>
      <c r="G4" t="s">
        <v>45</v>
      </c>
    </row>
    <row r="5" spans="1:7" x14ac:dyDescent="0.3">
      <c r="B5" t="s">
        <v>3</v>
      </c>
      <c r="D5" s="16"/>
      <c r="F5" s="11"/>
      <c r="G5" s="11">
        <v>1000</v>
      </c>
    </row>
    <row r="6" spans="1:7" x14ac:dyDescent="0.3">
      <c r="B6" t="s">
        <v>50</v>
      </c>
      <c r="C6" t="s">
        <v>8</v>
      </c>
      <c r="D6" s="16"/>
      <c r="F6" s="11">
        <v>10000</v>
      </c>
      <c r="G6" s="11">
        <f>SUM(F6:F10)</f>
        <v>17500</v>
      </c>
    </row>
    <row r="7" spans="1:7" x14ac:dyDescent="0.3">
      <c r="C7" t="s">
        <v>9</v>
      </c>
      <c r="D7" s="16"/>
      <c r="F7" s="11">
        <v>500</v>
      </c>
      <c r="G7" s="11"/>
    </row>
    <row r="8" spans="1:7" x14ac:dyDescent="0.3">
      <c r="C8" t="s">
        <v>1</v>
      </c>
      <c r="D8" s="16"/>
      <c r="F8" s="11">
        <v>3000</v>
      </c>
      <c r="G8" s="11"/>
    </row>
    <row r="9" spans="1:7" x14ac:dyDescent="0.3">
      <c r="C9" t="s">
        <v>10</v>
      </c>
      <c r="D9" s="16"/>
      <c r="F9" s="11">
        <v>2500</v>
      </c>
      <c r="G9" s="11"/>
    </row>
    <row r="10" spans="1:7" x14ac:dyDescent="0.3">
      <c r="C10" t="s">
        <v>5</v>
      </c>
      <c r="D10" s="16"/>
      <c r="E10" t="s">
        <v>52</v>
      </c>
      <c r="F10" s="11">
        <v>1500</v>
      </c>
      <c r="G10" s="11"/>
    </row>
    <row r="11" spans="1:7" x14ac:dyDescent="0.3">
      <c r="B11" t="s">
        <v>0</v>
      </c>
      <c r="D11" s="16"/>
      <c r="F11" s="11"/>
      <c r="G11" s="11">
        <v>900</v>
      </c>
    </row>
    <row r="12" spans="1:7" x14ac:dyDescent="0.3">
      <c r="B12" t="s">
        <v>1</v>
      </c>
      <c r="D12" s="16"/>
      <c r="F12" s="11"/>
      <c r="G12" s="11">
        <v>6000</v>
      </c>
    </row>
    <row r="13" spans="1:7" x14ac:dyDescent="0.3">
      <c r="A13" t="s">
        <v>53</v>
      </c>
      <c r="B13" t="s">
        <v>51</v>
      </c>
      <c r="D13" s="16"/>
      <c r="F13" s="11"/>
      <c r="G13" s="11">
        <f>SUM(F14:F18)</f>
        <v>5300</v>
      </c>
    </row>
    <row r="14" spans="1:7" x14ac:dyDescent="0.3">
      <c r="C14" t="s">
        <v>46</v>
      </c>
      <c r="D14" s="16"/>
      <c r="F14" s="11">
        <v>800</v>
      </c>
      <c r="G14" s="11"/>
    </row>
    <row r="15" spans="1:7" x14ac:dyDescent="0.3">
      <c r="C15" t="s">
        <v>47</v>
      </c>
      <c r="D15" s="16"/>
      <c r="F15" s="11">
        <v>3200</v>
      </c>
      <c r="G15" s="11"/>
    </row>
    <row r="16" spans="1:7" x14ac:dyDescent="0.3">
      <c r="C16" t="s">
        <v>48</v>
      </c>
      <c r="D16" s="16"/>
      <c r="F16" s="11">
        <v>500</v>
      </c>
      <c r="G16" s="11"/>
    </row>
    <row r="17" spans="2:7" x14ac:dyDescent="0.3">
      <c r="C17" t="s">
        <v>49</v>
      </c>
      <c r="D17" s="16"/>
      <c r="F17" s="11">
        <v>800</v>
      </c>
      <c r="G17" s="11"/>
    </row>
    <row r="18" spans="2:7" x14ac:dyDescent="0.3">
      <c r="C18" s="25" t="s">
        <v>5</v>
      </c>
      <c r="D18" s="16"/>
      <c r="F18" s="11">
        <v>0</v>
      </c>
      <c r="G18" s="11"/>
    </row>
    <row r="19" spans="2:7" x14ac:dyDescent="0.3">
      <c r="B19" t="s">
        <v>2</v>
      </c>
      <c r="D19" s="16"/>
      <c r="F19" s="11"/>
      <c r="G19" s="11">
        <v>3000</v>
      </c>
    </row>
    <row r="20" spans="2:7" x14ac:dyDescent="0.3">
      <c r="B20" t="s">
        <v>12</v>
      </c>
      <c r="D20" s="16"/>
      <c r="F20" s="11"/>
      <c r="G20" s="11">
        <f>SUM(F21:F26)</f>
        <v>11950</v>
      </c>
    </row>
    <row r="21" spans="2:7" x14ac:dyDescent="0.3">
      <c r="C21" t="s">
        <v>13</v>
      </c>
      <c r="D21" s="16"/>
      <c r="F21" s="11">
        <v>1650</v>
      </c>
      <c r="G21" s="11"/>
    </row>
    <row r="22" spans="2:7" x14ac:dyDescent="0.3">
      <c r="C22" t="s">
        <v>14</v>
      </c>
      <c r="D22" s="16"/>
      <c r="F22" s="11">
        <v>3000</v>
      </c>
      <c r="G22" s="11"/>
    </row>
    <row r="23" spans="2:7" x14ac:dyDescent="0.3">
      <c r="C23" t="s">
        <v>15</v>
      </c>
      <c r="D23" s="16"/>
      <c r="F23" s="11">
        <v>3000</v>
      </c>
      <c r="G23" s="11"/>
    </row>
    <row r="24" spans="2:7" x14ac:dyDescent="0.3">
      <c r="C24" t="s">
        <v>16</v>
      </c>
      <c r="D24" s="16"/>
      <c r="F24" s="11">
        <v>2700</v>
      </c>
      <c r="G24" s="11"/>
    </row>
    <row r="25" spans="2:7" x14ac:dyDescent="0.3">
      <c r="C25" t="s">
        <v>11</v>
      </c>
      <c r="D25" s="16"/>
      <c r="F25" s="11">
        <v>1500</v>
      </c>
      <c r="G25" s="11"/>
    </row>
    <row r="26" spans="2:7" x14ac:dyDescent="0.3">
      <c r="C26" s="25" t="s">
        <v>5</v>
      </c>
      <c r="D26" s="16"/>
      <c r="F26" s="11">
        <v>100</v>
      </c>
      <c r="G26" s="11"/>
    </row>
    <row r="27" spans="2:7" x14ac:dyDescent="0.3">
      <c r="B27" t="s">
        <v>4</v>
      </c>
      <c r="D27" s="16"/>
      <c r="F27" s="11"/>
      <c r="G27" s="11">
        <v>1500</v>
      </c>
    </row>
    <row r="28" spans="2:7" x14ac:dyDescent="0.3">
      <c r="B28" t="s">
        <v>5</v>
      </c>
      <c r="D28" s="16"/>
      <c r="F28" s="11"/>
      <c r="G28" s="11">
        <v>957</v>
      </c>
    </row>
    <row r="29" spans="2:7" ht="15" thickBot="1" x14ac:dyDescent="0.35">
      <c r="B29" t="s">
        <v>96</v>
      </c>
      <c r="F29" s="27"/>
      <c r="G29" s="12">
        <f>SUBTOTAL(109,Tabela1[Valor Final])</f>
        <v>48107</v>
      </c>
    </row>
    <row r="30" spans="2:7" ht="15.6" thickTop="1" thickBot="1" x14ac:dyDescent="0.35">
      <c r="B30" s="14" t="s">
        <v>95</v>
      </c>
      <c r="C30" s="13"/>
      <c r="D30" s="13"/>
      <c r="E30" s="13"/>
      <c r="F30" s="22"/>
      <c r="G30" s="23">
        <f ca="1">SUBTOTAL(109,Tabela2[Valor Pago])</f>
        <v>7338.4207260837957</v>
      </c>
    </row>
    <row r="31" spans="2:7" ht="15" thickTop="1" x14ac:dyDescent="0.3">
      <c r="B31" s="14" t="s">
        <v>97</v>
      </c>
      <c r="C31" s="13"/>
      <c r="D31" s="13"/>
      <c r="E31" s="13"/>
      <c r="F31" s="22"/>
      <c r="G31" s="23">
        <f ca="1">SUM(G29:G30)</f>
        <v>55445.420726083794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2:J27"/>
  <sheetViews>
    <sheetView showGridLines="0" zoomScale="98" zoomScaleNormal="98" workbookViewId="0"/>
  </sheetViews>
  <sheetFormatPr defaultRowHeight="14.4" x14ac:dyDescent="0.3"/>
  <cols>
    <col min="1" max="1" width="8.88671875" style="25"/>
    <col min="3" max="3" width="11" bestFit="1" customWidth="1"/>
    <col min="4" max="4" width="28.77734375" bestFit="1" customWidth="1"/>
    <col min="5" max="5" width="13.109375" bestFit="1" customWidth="1"/>
    <col min="6" max="6" width="20.44140625" bestFit="1" customWidth="1"/>
    <col min="7" max="7" width="13.33203125" bestFit="1" customWidth="1"/>
    <col min="8" max="8" width="15.6640625" bestFit="1" customWidth="1"/>
    <col min="9" max="9" width="12.21875" bestFit="1" customWidth="1"/>
    <col min="10" max="10" width="12.5546875" bestFit="1" customWidth="1"/>
  </cols>
  <sheetData>
    <row r="2" spans="2:10" s="10" customFormat="1" ht="28.05" customHeight="1" x14ac:dyDescent="0.3">
      <c r="B2" s="10" t="s">
        <v>55</v>
      </c>
    </row>
    <row r="3" spans="2:10" ht="24.6" customHeight="1" x14ac:dyDescent="0.3"/>
    <row r="4" spans="2:10" x14ac:dyDescent="0.3">
      <c r="C4" t="s">
        <v>42</v>
      </c>
      <c r="D4" t="s">
        <v>56</v>
      </c>
      <c r="E4" t="s">
        <v>57</v>
      </c>
      <c r="F4" t="s">
        <v>58</v>
      </c>
      <c r="G4" t="s">
        <v>62</v>
      </c>
      <c r="H4" t="s">
        <v>59</v>
      </c>
      <c r="I4" t="s">
        <v>60</v>
      </c>
      <c r="J4" t="s">
        <v>61</v>
      </c>
    </row>
    <row r="5" spans="2:10" x14ac:dyDescent="0.3">
      <c r="C5" s="19">
        <v>43801</v>
      </c>
      <c r="D5" t="s">
        <v>85</v>
      </c>
      <c r="E5" t="s">
        <v>32</v>
      </c>
      <c r="F5" t="str">
        <f>IFERROR((VLOOKUP(Tabela2[[#This Row],[Mercadoria]],cálculos!$H$3:'cálculos'!$K$26,4,FALSE)),"")</f>
        <v>Unidade</v>
      </c>
      <c r="G5">
        <v>50</v>
      </c>
      <c r="H5">
        <f>IFERROR((VLOOKUP(Tabela2[[#This Row],[Mercadoria]],cálculos!$H$3:'cálculos'!$K$26,2,FALSE)),"")</f>
        <v>2.3660000000000001</v>
      </c>
      <c r="I5" s="15">
        <f t="shared" ref="I5:I26" ca="1" si="0">RAND()</f>
        <v>0.85503152649031233</v>
      </c>
      <c r="J5" s="11">
        <f ca="1">IFERROR(Tabela2[[#This Row],[Quantidade]]*Tabela2[[#This Row],[Preço Unitário]]*(1-Tabela2[[#This Row],[Desconto]]),0)</f>
        <v>17.149770416196052</v>
      </c>
    </row>
    <row r="6" spans="2:10" x14ac:dyDescent="0.3">
      <c r="C6" s="19">
        <v>42190</v>
      </c>
      <c r="D6" t="s">
        <v>86</v>
      </c>
      <c r="E6" t="s">
        <v>18</v>
      </c>
      <c r="F6" t="str">
        <f>IFERROR((VLOOKUP(Tabela2[[#This Row],[Mercadoria]],cálculos!$H$3:'cálculos'!$K$26,4,FALSE)),"")</f>
        <v>Kg</v>
      </c>
      <c r="G6">
        <v>120</v>
      </c>
      <c r="H6" s="18">
        <f>IFERROR((VLOOKUP(Tabela2[[#This Row],[Mercadoria]],cálculos!$H$3:'cálculos'!$K$26,2,FALSE)),"")</f>
        <v>4.0659999999999998</v>
      </c>
      <c r="I6" s="15">
        <f t="shared" ca="1" si="0"/>
        <v>0.65681390993896438</v>
      </c>
      <c r="J6" s="11">
        <f ca="1">IFERROR(Tabela2[[#This Row],[Quantidade]]*Tabela2[[#This Row],[Preço Unitário]]*(1-Tabela2[[#This Row],[Desconto]]),0)</f>
        <v>167.44735706258049</v>
      </c>
    </row>
    <row r="7" spans="2:10" x14ac:dyDescent="0.3">
      <c r="C7" s="19">
        <v>42189</v>
      </c>
      <c r="D7" t="s">
        <v>86</v>
      </c>
      <c r="E7" t="s">
        <v>18</v>
      </c>
      <c r="F7" t="str">
        <f>IFERROR((VLOOKUP(Tabela2[[#This Row],[Mercadoria]],cálculos!$H$3:'cálculos'!$K$26,4,FALSE)),"")</f>
        <v>Kg</v>
      </c>
      <c r="G7">
        <v>150</v>
      </c>
      <c r="H7" s="18">
        <f>IFERROR((VLOOKUP(Tabela2[[#This Row],[Mercadoria]],cálculos!$H$3:'cálculos'!$K$26,2,FALSE)),"")</f>
        <v>4.0659999999999998</v>
      </c>
      <c r="I7" s="15">
        <f t="shared" ca="1" si="0"/>
        <v>0.35757259425597554</v>
      </c>
      <c r="J7" s="11">
        <f ca="1">IFERROR(Tabela2[[#This Row],[Quantidade]]*Tabela2[[#This Row],[Preço Unitário]]*(1-Tabela2[[#This Row],[Desconto]]),0)</f>
        <v>391.8164747632805</v>
      </c>
    </row>
    <row r="8" spans="2:10" x14ac:dyDescent="0.3">
      <c r="C8" s="19">
        <v>42189</v>
      </c>
      <c r="D8" t="s">
        <v>86</v>
      </c>
      <c r="E8" t="s">
        <v>17</v>
      </c>
      <c r="F8" t="str">
        <f>IFERROR((VLOOKUP(Tabela2[[#This Row],[Mercadoria]],cálculos!$H$3:'cálculos'!$K$26,4,FALSE)),"")</f>
        <v>Kg</v>
      </c>
      <c r="G8">
        <v>150</v>
      </c>
      <c r="H8" s="18">
        <f>IFERROR((VLOOKUP(Tabela2[[#This Row],[Mercadoria]],cálculos!$H$3:'cálculos'!$K$26,2,FALSE)),"")</f>
        <v>2.3406000000000002</v>
      </c>
      <c r="I8" s="15">
        <f t="shared" ca="1" si="0"/>
        <v>0.25116867195285741</v>
      </c>
      <c r="J8" s="11">
        <f ca="1">IFERROR(Tabela2[[#This Row],[Quantidade]]*Tabela2[[#This Row],[Preço Unitário]]*(1-Tabela2[[#This Row],[Desconto]]),0)</f>
        <v>262.90719096407133</v>
      </c>
    </row>
    <row r="9" spans="2:10" x14ac:dyDescent="0.3">
      <c r="C9" s="19">
        <v>42189</v>
      </c>
      <c r="D9" t="s">
        <v>87</v>
      </c>
      <c r="E9" t="s">
        <v>30</v>
      </c>
      <c r="F9" t="str">
        <f>IFERROR((VLOOKUP(Tabela2[[#This Row],[Mercadoria]],cálculos!$H$3:'cálculos'!$K$26,4,FALSE)),"")</f>
        <v>Lata</v>
      </c>
      <c r="G9">
        <v>100</v>
      </c>
      <c r="H9" s="18">
        <f>IFERROR((VLOOKUP(Tabela2[[#This Row],[Mercadoria]],cálculos!$H$3:'cálculos'!$K$26,2,FALSE)),"")</f>
        <v>2.1023999999999998</v>
      </c>
      <c r="I9" s="15">
        <f t="shared" ca="1" si="0"/>
        <v>0.77612771429122096</v>
      </c>
      <c r="J9" s="11">
        <f ca="1">IFERROR(Tabela2[[#This Row],[Quantidade]]*Tabela2[[#This Row],[Preço Unitário]]*(1-Tabela2[[#This Row],[Desconto]]),0)</f>
        <v>47.066909347413699</v>
      </c>
    </row>
    <row r="10" spans="2:10" x14ac:dyDescent="0.3">
      <c r="C10" s="19">
        <v>42189</v>
      </c>
      <c r="D10" t="s">
        <v>87</v>
      </c>
      <c r="E10" t="s">
        <v>26</v>
      </c>
      <c r="F10" t="str">
        <f>IFERROR((VLOOKUP(Tabela2[[#This Row],[Mercadoria]],cálculos!$H$3:'cálculos'!$K$26,4,FALSE)),"")</f>
        <v>Litro</v>
      </c>
      <c r="G10">
        <v>200</v>
      </c>
      <c r="H10" s="18">
        <f>IFERROR((VLOOKUP(Tabela2[[#This Row],[Mercadoria]],cálculos!$H$3:'cálculos'!$K$26,2,FALSE)),"")</f>
        <v>3.2084999999999999</v>
      </c>
      <c r="I10" s="15">
        <f t="shared" ca="1" si="0"/>
        <v>0.57656686482242459</v>
      </c>
      <c r="J10" s="11">
        <f ca="1">IFERROR(Tabela2[[#This Row],[Quantidade]]*Tabela2[[#This Row],[Preço Unitário]]*(1-Tabela2[[#This Row],[Desconto]]),0)</f>
        <v>271.71704284345009</v>
      </c>
    </row>
    <row r="11" spans="2:10" x14ac:dyDescent="0.3">
      <c r="C11" s="19">
        <v>42188</v>
      </c>
      <c r="D11" t="s">
        <v>88</v>
      </c>
      <c r="E11" t="s">
        <v>36</v>
      </c>
      <c r="F11" t="str">
        <f>IFERROR((VLOOKUP(Tabela2[[#This Row],[Mercadoria]],cálculos!$H$3:'cálculos'!$K$26,4,FALSE)),"")</f>
        <v>Maço</v>
      </c>
      <c r="G11">
        <v>100</v>
      </c>
      <c r="H11" s="18">
        <f>IFERROR((VLOOKUP(Tabela2[[#This Row],[Mercadoria]],cálculos!$H$3:'cálculos'!$K$26,2,FALSE)),"")</f>
        <v>6.3449999999999998</v>
      </c>
      <c r="I11" s="15">
        <f t="shared" ca="1" si="0"/>
        <v>0.54399123588036813</v>
      </c>
      <c r="J11" s="11">
        <f ca="1">IFERROR(Tabela2[[#This Row],[Quantidade]]*Tabela2[[#This Row],[Preço Unitário]]*(1-Tabela2[[#This Row],[Desconto]]),0)</f>
        <v>289.33756083390642</v>
      </c>
    </row>
    <row r="12" spans="2:10" x14ac:dyDescent="0.3">
      <c r="C12" s="19">
        <v>42188</v>
      </c>
      <c r="D12" t="s">
        <v>89</v>
      </c>
      <c r="E12" t="s">
        <v>35</v>
      </c>
      <c r="F12" t="str">
        <f>IFERROR((VLOOKUP(Tabela2[[#This Row],[Mercadoria]],cálculos!$H$3:'cálculos'!$K$26,4,FALSE)),"")</f>
        <v>Barra</v>
      </c>
      <c r="G12">
        <v>100</v>
      </c>
      <c r="H12" s="18">
        <f>IFERROR((VLOOKUP(Tabela2[[#This Row],[Mercadoria]],cálculos!$H$3:'cálculos'!$K$26,2,FALSE)),"")</f>
        <v>4.5409000000000006</v>
      </c>
      <c r="I12" s="15">
        <f t="shared" ca="1" si="0"/>
        <v>0.57156261491167681</v>
      </c>
      <c r="J12" s="11">
        <f ca="1">IFERROR(Tabela2[[#This Row],[Quantidade]]*Tabela2[[#This Row],[Preço Unitário]]*(1-Tabela2[[#This Row],[Desconto]]),0)</f>
        <v>194.54913219475668</v>
      </c>
    </row>
    <row r="13" spans="2:10" x14ac:dyDescent="0.3">
      <c r="C13" s="19">
        <v>42188</v>
      </c>
      <c r="D13" t="s">
        <v>86</v>
      </c>
      <c r="E13" t="s">
        <v>18</v>
      </c>
      <c r="F13" t="str">
        <f>IFERROR((VLOOKUP(Tabela2[[#This Row],[Mercadoria]],cálculos!$H$3:'cálculos'!$K$26,4,FALSE)),"")</f>
        <v>Kg</v>
      </c>
      <c r="G13">
        <v>300</v>
      </c>
      <c r="H13" s="18">
        <f>IFERROR((VLOOKUP(Tabela2[[#This Row],[Mercadoria]],cálculos!$H$3:'cálculos'!$K$26,2,FALSE)),"")</f>
        <v>4.0659999999999998</v>
      </c>
      <c r="I13" s="15">
        <f t="shared" ca="1" si="0"/>
        <v>0.94340393982114212</v>
      </c>
      <c r="J13" s="11">
        <f ca="1">IFERROR(Tabela2[[#This Row],[Quantidade]]*Tabela2[[#This Row],[Preço Unitário]]*(1-Tabela2[[#This Row],[Desconto]]),0)</f>
        <v>69.035874206170831</v>
      </c>
    </row>
    <row r="14" spans="2:10" x14ac:dyDescent="0.3">
      <c r="C14" s="19">
        <v>42188</v>
      </c>
      <c r="D14" t="s">
        <v>86</v>
      </c>
      <c r="E14" t="s">
        <v>29</v>
      </c>
      <c r="F14" t="str">
        <f>IFERROR((VLOOKUP(Tabela2[[#This Row],[Mercadoria]],cálculos!$H$3:'cálculos'!$K$26,4,FALSE)),"")</f>
        <v>Pacote</v>
      </c>
      <c r="G14">
        <v>50</v>
      </c>
      <c r="H14" s="18">
        <f>IFERROR((VLOOKUP(Tabela2[[#This Row],[Mercadoria]],cálculos!$H$3:'cálculos'!$K$26,2,FALSE)),"")</f>
        <v>1.0580000000000001</v>
      </c>
      <c r="I14" s="15">
        <f t="shared" ca="1" si="0"/>
        <v>0.65133683553996813</v>
      </c>
      <c r="J14" s="11">
        <f ca="1">IFERROR(Tabela2[[#This Row],[Quantidade]]*Tabela2[[#This Row],[Preço Unitário]]*(1-Tabela2[[#This Row],[Desconto]]),0)</f>
        <v>18.444281399935686</v>
      </c>
    </row>
    <row r="15" spans="2:10" x14ac:dyDescent="0.3">
      <c r="C15" s="19">
        <v>42188</v>
      </c>
      <c r="D15" t="s">
        <v>90</v>
      </c>
      <c r="E15" t="s">
        <v>82</v>
      </c>
      <c r="F15" t="str">
        <f>IFERROR((VLOOKUP(Tabela2[[#This Row],[Mercadoria]],cálculos!$H$3:'cálculos'!$K$26,4,FALSE)),"")</f>
        <v>Unidade</v>
      </c>
      <c r="G15">
        <v>300</v>
      </c>
      <c r="H15" s="18">
        <f>IFERROR((VLOOKUP(Tabela2[[#This Row],[Mercadoria]],cálculos!$H$3:'cálculos'!$K$26,2,FALSE)),"")</f>
        <v>2.6299000000000001</v>
      </c>
      <c r="I15" s="15">
        <f t="shared" ca="1" si="0"/>
        <v>0.97574804103539159</v>
      </c>
      <c r="J15" s="11">
        <f ca="1">IFERROR(Tabela2[[#This Row],[Quantidade]]*Tabela2[[#This Row],[Preço Unitário]]*(1-Tabela2[[#This Row],[Desconto]]),0)</f>
        <v>19.134068064307098</v>
      </c>
    </row>
    <row r="16" spans="2:10" x14ac:dyDescent="0.3">
      <c r="C16" s="19">
        <v>42188</v>
      </c>
      <c r="D16" t="s">
        <v>89</v>
      </c>
      <c r="E16" t="s">
        <v>34</v>
      </c>
      <c r="F16" t="str">
        <f>IFERROR((VLOOKUP(Tabela2[[#This Row],[Mercadoria]],cálculos!$H$3:'cálculos'!$K$26,4,FALSE)),"")</f>
        <v>Pacote</v>
      </c>
      <c r="G16">
        <v>100</v>
      </c>
      <c r="H16" s="18">
        <f>IFERROR((VLOOKUP(Tabela2[[#This Row],[Mercadoria]],cálculos!$H$3:'cálculos'!$K$26,2,FALSE)),"")</f>
        <v>1.8506999999999998</v>
      </c>
      <c r="I16" s="15">
        <f t="shared" ca="1" si="0"/>
        <v>1.9544418723704826E-2</v>
      </c>
      <c r="J16" s="11">
        <f ca="1">IFERROR(Tabela2[[#This Row],[Quantidade]]*Tabela2[[#This Row],[Preço Unitário]]*(1-Tabela2[[#This Row],[Desconto]]),0)</f>
        <v>181.45291442680394</v>
      </c>
    </row>
    <row r="17" spans="3:10" x14ac:dyDescent="0.3">
      <c r="C17" s="19">
        <v>42188</v>
      </c>
      <c r="D17" t="s">
        <v>87</v>
      </c>
      <c r="E17" t="s">
        <v>30</v>
      </c>
      <c r="F17" t="str">
        <f>IFERROR((VLOOKUP(Tabela2[[#This Row],[Mercadoria]],cálculos!$H$3:'cálculos'!$K$26,4,FALSE)),"")</f>
        <v>Lata</v>
      </c>
      <c r="G17">
        <v>100</v>
      </c>
      <c r="H17" s="18">
        <f>IFERROR((VLOOKUP(Tabela2[[#This Row],[Mercadoria]],cálculos!$H$3:'cálculos'!$K$26,2,FALSE)),"")</f>
        <v>2.1023999999999998</v>
      </c>
      <c r="I17" s="15">
        <f t="shared" ca="1" si="0"/>
        <v>0.18079301118561297</v>
      </c>
      <c r="J17" s="11">
        <f ca="1">IFERROR(Tabela2[[#This Row],[Quantidade]]*Tabela2[[#This Row],[Preço Unitário]]*(1-Tabela2[[#This Row],[Desconto]]),0)</f>
        <v>172.23007732833671</v>
      </c>
    </row>
    <row r="18" spans="3:10" x14ac:dyDescent="0.3">
      <c r="C18" s="19">
        <v>42188</v>
      </c>
      <c r="D18" t="s">
        <v>91</v>
      </c>
      <c r="E18" t="s">
        <v>22</v>
      </c>
      <c r="F18" t="str">
        <f>IFERROR((VLOOKUP(Tabela2[[#This Row],[Mercadoria]],cálculos!$H$3:'cálculos'!$K$26,4,FALSE)),"")</f>
        <v>Kg</v>
      </c>
      <c r="G18">
        <v>110</v>
      </c>
      <c r="H18" s="18">
        <f>IFERROR((VLOOKUP(Tabela2[[#This Row],[Mercadoria]],cálculos!$H$3:'cálculos'!$K$26,2,FALSE)),"")</f>
        <v>6.4216000000000006</v>
      </c>
      <c r="I18" s="15">
        <f t="shared" ca="1" si="0"/>
        <v>0.30194892186358047</v>
      </c>
      <c r="J18" s="11">
        <f ca="1">IFERROR(Tabela2[[#This Row],[Quantidade]]*Tabela2[[#This Row],[Preço Unitário]]*(1-Tabela2[[#This Row],[Desconto]]),0)</f>
        <v>493.08652836969156</v>
      </c>
    </row>
    <row r="19" spans="3:10" x14ac:dyDescent="0.3">
      <c r="C19" s="19">
        <v>42188</v>
      </c>
      <c r="D19" t="s">
        <v>92</v>
      </c>
      <c r="E19" t="s">
        <v>23</v>
      </c>
      <c r="F19" t="str">
        <f>IFERROR((VLOOKUP(Tabela2[[#This Row],[Mercadoria]],cálculos!$H$3:'cálculos'!$K$26,4,FALSE)),"")</f>
        <v>Kg</v>
      </c>
      <c r="G19">
        <v>50</v>
      </c>
      <c r="H19" s="18">
        <f>IFERROR((VLOOKUP(Tabela2[[#This Row],[Mercadoria]],cálculos!$H$3:'cálculos'!$K$26,2,FALSE)),"")</f>
        <v>22.226999999999997</v>
      </c>
      <c r="I19" s="15">
        <f t="shared" ca="1" si="0"/>
        <v>0.24664894458426179</v>
      </c>
      <c r="J19" s="11">
        <f ca="1">IFERROR(Tabela2[[#This Row],[Quantidade]]*Tabela2[[#This Row],[Preço Unitário]]*(1-Tabela2[[#This Row],[Desconto]]),0)</f>
        <v>837.23669543628057</v>
      </c>
    </row>
    <row r="20" spans="3:10" x14ac:dyDescent="0.3">
      <c r="C20" s="19">
        <v>42187</v>
      </c>
      <c r="D20" t="s">
        <v>86</v>
      </c>
      <c r="E20" t="s">
        <v>17</v>
      </c>
      <c r="F20" t="str">
        <f>IFERROR((VLOOKUP(Tabela2[[#This Row],[Mercadoria]],cálculos!$H$3:'cálculos'!$K$26,4,FALSE)),"")</f>
        <v>Kg</v>
      </c>
      <c r="G20">
        <v>300</v>
      </c>
      <c r="H20" s="18">
        <f>IFERROR((VLOOKUP(Tabela2[[#This Row],[Mercadoria]],cálculos!$H$3:'cálculos'!$K$26,2,FALSE)),"")</f>
        <v>2.3406000000000002</v>
      </c>
      <c r="I20" s="15">
        <f t="shared" ca="1" si="0"/>
        <v>0.99111199721938315</v>
      </c>
      <c r="J20" s="11">
        <f ca="1">IFERROR(Tabela2[[#This Row],[Quantidade]]*Tabela2[[#This Row],[Preço Unitário]]*(1-Tabela2[[#This Row],[Desconto]]),0)</f>
        <v>6.2409777924935437</v>
      </c>
    </row>
    <row r="21" spans="3:10" x14ac:dyDescent="0.3">
      <c r="C21" s="19">
        <v>42187</v>
      </c>
      <c r="D21" t="s">
        <v>85</v>
      </c>
      <c r="E21" t="s">
        <v>20</v>
      </c>
      <c r="F21" t="str">
        <f>IFERROR((VLOOKUP(Tabela2[[#This Row],[Mercadoria]],cálculos!$H$3:'cálculos'!$K$26,4,FALSE)),"")</f>
        <v>Unidade</v>
      </c>
      <c r="G21">
        <v>150</v>
      </c>
      <c r="H21" s="18">
        <f>IFERROR((VLOOKUP(Tabela2[[#This Row],[Mercadoria]],cálculos!$H$3:'cálculos'!$K$26,2,FALSE)),"")</f>
        <v>2.8405</v>
      </c>
      <c r="I21" s="15">
        <f t="shared" ca="1" si="0"/>
        <v>0.48021059443608116</v>
      </c>
      <c r="J21" s="11">
        <f ca="1">IFERROR(Tabela2[[#This Row],[Quantidade]]*Tabela2[[#This Row],[Preço Unitário]]*(1-Tabela2[[#This Row],[Desconto]]),0)</f>
        <v>221.46927097564671</v>
      </c>
    </row>
    <row r="22" spans="3:10" x14ac:dyDescent="0.3">
      <c r="C22" s="19">
        <v>42187</v>
      </c>
      <c r="D22" t="s">
        <v>93</v>
      </c>
      <c r="E22" t="s">
        <v>27</v>
      </c>
      <c r="F22" t="str">
        <f>IFERROR((VLOOKUP(Tabela2[[#This Row],[Mercadoria]],cálculos!$H$3:'cálculos'!$K$26,4,FALSE)),"")</f>
        <v>Kg</v>
      </c>
      <c r="G22">
        <v>150</v>
      </c>
      <c r="H22" s="18">
        <f>IFERROR((VLOOKUP(Tabela2[[#This Row],[Mercadoria]],cálculos!$H$3:'cálculos'!$K$26,2,FALSE)),"")</f>
        <v>3.6309000000000005</v>
      </c>
      <c r="I22" s="15">
        <f t="shared" ca="1" si="0"/>
        <v>0.99268157690982173</v>
      </c>
      <c r="J22" s="11">
        <f ca="1">IFERROR(Tabela2[[#This Row],[Quantidade]]*Tabela2[[#This Row],[Preço Unitário]]*(1-Tabela2[[#This Row],[Desconto]]),0)</f>
        <v>3.9858693597192438</v>
      </c>
    </row>
    <row r="23" spans="3:10" x14ac:dyDescent="0.3">
      <c r="C23" s="19">
        <v>42187</v>
      </c>
      <c r="D23" t="s">
        <v>94</v>
      </c>
      <c r="E23" t="s">
        <v>21</v>
      </c>
      <c r="F23" t="str">
        <f>IFERROR((VLOOKUP(Tabela2[[#This Row],[Mercadoria]],cálculos!$H$3:'cálculos'!$K$26,4,FALSE)),"")</f>
        <v>Kg</v>
      </c>
      <c r="G23">
        <v>150</v>
      </c>
      <c r="H23" s="18">
        <f>IFERROR((VLOOKUP(Tabela2[[#This Row],[Mercadoria]],cálculos!$H$3:'cálculos'!$K$26,2,FALSE)),"")</f>
        <v>14.469000000000001</v>
      </c>
      <c r="I23" s="15">
        <f t="shared" ca="1" si="0"/>
        <v>0.21189234709480853</v>
      </c>
      <c r="J23" s="11">
        <f ca="1">IFERROR(Tabela2[[#This Row],[Quantidade]]*Tabela2[[#This Row],[Preço Unitário]]*(1-Tabela2[[#This Row],[Desconto]]),0)</f>
        <v>1710.4694444827826</v>
      </c>
    </row>
    <row r="24" spans="3:10" x14ac:dyDescent="0.3">
      <c r="C24" s="19">
        <v>42187</v>
      </c>
      <c r="D24" t="s">
        <v>87</v>
      </c>
      <c r="E24" t="s">
        <v>30</v>
      </c>
      <c r="F24" t="str">
        <f>IFERROR((VLOOKUP(Tabela2[[#This Row],[Mercadoria]],cálculos!$H$3:'cálculos'!$K$26,4,FALSE)),"")</f>
        <v>Lata</v>
      </c>
      <c r="G24">
        <v>100</v>
      </c>
      <c r="H24" s="18">
        <f>IFERROR((VLOOKUP(Tabela2[[#This Row],[Mercadoria]],cálculos!$H$3:'cálculos'!$K$26,2,FALSE)),"")</f>
        <v>2.1023999999999998</v>
      </c>
      <c r="I24" s="15">
        <f t="shared" ca="1" si="0"/>
        <v>0.33585799660525084</v>
      </c>
      <c r="J24" s="11">
        <f ca="1">IFERROR(Tabela2[[#This Row],[Quantidade]]*Tabela2[[#This Row],[Preço Unitário]]*(1-Tabela2[[#This Row],[Desconto]]),0)</f>
        <v>139.62921479371204</v>
      </c>
    </row>
    <row r="25" spans="3:10" x14ac:dyDescent="0.3">
      <c r="C25" s="19">
        <v>42187</v>
      </c>
      <c r="D25" t="s">
        <v>87</v>
      </c>
      <c r="E25" t="s">
        <v>25</v>
      </c>
      <c r="F25" t="str">
        <f>IFERROR((VLOOKUP(Tabela2[[#This Row],[Mercadoria]],cálculos!$H$3:'cálculos'!$K$26,4,FALSE)),"")</f>
        <v>Garrafa</v>
      </c>
      <c r="G25">
        <v>80</v>
      </c>
      <c r="H25" s="18">
        <f>IFERROR((VLOOKUP(Tabela2[[#This Row],[Mercadoria]],cálculos!$H$3:'cálculos'!$K$26,2,FALSE)),"")</f>
        <v>26.012999999999998</v>
      </c>
      <c r="I25" s="15">
        <f t="shared" ca="1" si="0"/>
        <v>0.19659732910537187</v>
      </c>
      <c r="J25" s="11">
        <f ca="1">IFERROR(Tabela2[[#This Row],[Quantidade]]*Tabela2[[#This Row],[Preço Unitário]]*(1-Tabela2[[#This Row],[Desconto]]),0)</f>
        <v>1671.9130942385568</v>
      </c>
    </row>
    <row r="26" spans="3:10" x14ac:dyDescent="0.3">
      <c r="C26" s="19">
        <v>42187</v>
      </c>
      <c r="D26" t="s">
        <v>85</v>
      </c>
      <c r="E26" t="s">
        <v>32</v>
      </c>
      <c r="F26" t="str">
        <f>IFERROR((VLOOKUP(Tabela2[[#This Row],[Mercadoria]],cálculos!$H$3:'cálculos'!$K$26,4,FALSE)),"")</f>
        <v>Unidade</v>
      </c>
      <c r="G26">
        <v>100</v>
      </c>
      <c r="H26" s="18">
        <f>IFERROR((VLOOKUP(Tabela2[[#This Row],[Mercadoria]],cálculos!$H$3:'cálculos'!$K$26,2,FALSE)),"")</f>
        <v>2.3660000000000001</v>
      </c>
      <c r="I26" s="20">
        <f t="shared" ca="1" si="0"/>
        <v>0.35713872872484287</v>
      </c>
      <c r="J26" s="11">
        <f ca="1">IFERROR(Tabela2[[#This Row],[Quantidade]]*Tabela2[[#This Row],[Preço Unitário]]*(1-Tabela2[[#This Row],[Desconto]]),0)</f>
        <v>152.10097678370218</v>
      </c>
    </row>
    <row r="27" spans="3:10" x14ac:dyDescent="0.3">
      <c r="C27" s="21" t="s">
        <v>54</v>
      </c>
      <c r="H27" s="27"/>
      <c r="J27" s="12">
        <f ca="1">SUBTOTAL(109,Tabela2[Valor Pago])</f>
        <v>7338.4207260837957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46F949-685C-465D-96BD-441A5AC4FE85}">
          <x14:formula1>
            <xm:f>cálculos!$H$3:$H$26</xm:f>
          </x14:formula1>
          <xm:sqref>E5:E26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B2:H28"/>
  <sheetViews>
    <sheetView showGridLines="0" zoomScaleNormal="100" workbookViewId="0">
      <selection activeCell="H5" sqref="H5"/>
    </sheetView>
  </sheetViews>
  <sheetFormatPr defaultRowHeight="14.4" x14ac:dyDescent="0.3"/>
  <cols>
    <col min="2" max="2" width="29.5546875" bestFit="1" customWidth="1"/>
    <col min="3" max="3" width="23.44140625" customWidth="1"/>
    <col min="4" max="4" width="23.44140625" style="25" customWidth="1"/>
    <col min="5" max="5" width="22.88671875" customWidth="1"/>
    <col min="6" max="6" width="21" customWidth="1"/>
    <col min="7" max="7" width="18.44140625" customWidth="1"/>
    <col min="8" max="8" width="10.6640625" customWidth="1"/>
  </cols>
  <sheetData>
    <row r="2" spans="2:8" s="10" customFormat="1" ht="28.05" customHeight="1" x14ac:dyDescent="0.3">
      <c r="B2" s="10" t="s">
        <v>104</v>
      </c>
    </row>
    <row r="3" spans="2:8" ht="24.6" customHeight="1" x14ac:dyDescent="0.3"/>
    <row r="4" spans="2:8" x14ac:dyDescent="0.3">
      <c r="B4" t="s">
        <v>105</v>
      </c>
      <c r="C4" t="s">
        <v>106</v>
      </c>
      <c r="D4" s="25" t="s">
        <v>110</v>
      </c>
      <c r="E4" t="s">
        <v>107</v>
      </c>
      <c r="F4" t="s">
        <v>145</v>
      </c>
      <c r="G4" t="s">
        <v>108</v>
      </c>
      <c r="H4" t="s">
        <v>109</v>
      </c>
    </row>
    <row r="5" spans="2:8" x14ac:dyDescent="0.3">
      <c r="B5" t="s">
        <v>20</v>
      </c>
      <c r="C5" s="26">
        <f>IFERROR(INDEX(Tabela2[[Data]:[Mercadoria]],MATCH(Tabela4[[#This Row],[Produto]],Tabela2[Mercadoria],0),1),"")</f>
        <v>42187</v>
      </c>
      <c r="D5" s="25">
        <v>15</v>
      </c>
      <c r="E5">
        <f>SUMIF(Tabela2[Mercadoria],Tabela4[[#This Row],[Produto]],Tabela2[Quantidade])</f>
        <v>150</v>
      </c>
      <c r="F5" s="27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3</v>
      </c>
      <c r="G5">
        <f>SUM(Tabela4[[#This Row],[Quantidade Inicial]:[Quantidade Comprada]])-Tabela4[[#This Row],[Quantidade Vendida]]</f>
        <v>162</v>
      </c>
      <c r="H5" t="str">
        <f>IF(Tabela4[[#This Row],[Quantidade Atual]]&lt;50,IF(Tabela4[[#This Row],[Quantidade Atual]]&lt;21,"Comprar","Atenção"),"Ok")</f>
        <v>Ok</v>
      </c>
    </row>
    <row r="6" spans="2:8" x14ac:dyDescent="0.3">
      <c r="B6" t="s">
        <v>29</v>
      </c>
      <c r="C6" s="26">
        <f>IFERROR(INDEX(Tabela2[[Data]:[Mercadoria]],MATCH(Tabela4[[#This Row],[Produto]],Tabela2[Mercadoria],0),1),"")</f>
        <v>42188</v>
      </c>
      <c r="D6" s="25">
        <v>10</v>
      </c>
      <c r="E6">
        <f>SUMIF(Tabela2[Mercadoria],Tabela4[[#This Row],[Produto]],Tabela2[Quantidade])</f>
        <v>50</v>
      </c>
      <c r="F6" s="27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13</v>
      </c>
      <c r="G6">
        <f>SUM(Tabela4[[#This Row],[Quantidade Inicial]:[Quantidade Comprada]])-Tabela4[[#This Row],[Quantidade Vendida]]</f>
        <v>47</v>
      </c>
      <c r="H6" s="25" t="str">
        <f>IF(Tabela4[[#This Row],[Quantidade Atual]]&lt;50,IF(Tabela4[[#This Row],[Quantidade Atual]]&lt;21,"Comprar","Atenção"),"Ok")</f>
        <v>Atenção</v>
      </c>
    </row>
    <row r="7" spans="2:8" x14ac:dyDescent="0.3">
      <c r="B7" t="s">
        <v>17</v>
      </c>
      <c r="C7" s="26">
        <f>IFERROR(INDEX(Tabela2[[Data]:[Mercadoria]],MATCH(Tabela4[[#This Row],[Produto]],Tabela2[Mercadoria],0),1),"")</f>
        <v>42189</v>
      </c>
      <c r="D7" s="25">
        <v>0</v>
      </c>
      <c r="E7">
        <f>SUMIF(Tabela2[Mercadoria],Tabela4[[#This Row],[Produto]],Tabela2[Quantidade])</f>
        <v>450</v>
      </c>
      <c r="F7" s="27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7</v>
      </c>
      <c r="G7">
        <f>SUM(Tabela4[[#This Row],[Quantidade Inicial]:[Quantidade Comprada]])-Tabela4[[#This Row],[Quantidade Vendida]]</f>
        <v>443</v>
      </c>
      <c r="H7" s="25" t="str">
        <f>IF(Tabela4[[#This Row],[Quantidade Atual]]&lt;50,IF(Tabela4[[#This Row],[Quantidade Atual]]&lt;21,"Comprar","Atenção"),"Ok")</f>
        <v>Ok</v>
      </c>
    </row>
    <row r="8" spans="2:8" x14ac:dyDescent="0.3">
      <c r="B8" t="s">
        <v>34</v>
      </c>
      <c r="C8" s="26">
        <f>IFERROR(INDEX(Tabela2[[Data]:[Mercadoria]],MATCH(Tabela4[[#This Row],[Produto]],Tabela2[Mercadoria],0),1),"")</f>
        <v>42188</v>
      </c>
      <c r="D8" s="25">
        <v>0</v>
      </c>
      <c r="E8">
        <f>SUMIF(Tabela2[Mercadoria],Tabela4[[#This Row],[Produto]],Tabela2[Quantidade])</f>
        <v>100</v>
      </c>
      <c r="F8" s="27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4</v>
      </c>
      <c r="G8">
        <f>SUM(Tabela4[[#This Row],[Quantidade Inicial]:[Quantidade Comprada]])-Tabela4[[#This Row],[Quantidade Vendida]]</f>
        <v>96</v>
      </c>
      <c r="H8" s="25" t="str">
        <f>IF(Tabela4[[#This Row],[Quantidade Atual]]&lt;50,IF(Tabela4[[#This Row],[Quantidade Atual]]&lt;21,"Comprar","Atenção"),"Ok")</f>
        <v>Ok</v>
      </c>
    </row>
    <row r="9" spans="2:8" x14ac:dyDescent="0.3">
      <c r="B9" t="s">
        <v>37</v>
      </c>
      <c r="C9" s="26" t="str">
        <f>IFERROR(INDEX(Tabela2[[Data]:[Mercadoria]],MATCH(Tabela4[[#This Row],[Produto]],Tabela2[Mercadoria],0),1),"")</f>
        <v/>
      </c>
      <c r="D9" s="25">
        <v>150</v>
      </c>
      <c r="E9">
        <f>SUMIF(Tabela2[Mercadoria],Tabela4[[#This Row],[Produto]],Tabela2[Quantidade])</f>
        <v>0</v>
      </c>
      <c r="F9" s="27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0</v>
      </c>
      <c r="G9">
        <f>SUM(Tabela4[[#This Row],[Quantidade Inicial]:[Quantidade Comprada]])-Tabela4[[#This Row],[Quantidade Vendida]]</f>
        <v>150</v>
      </c>
      <c r="H9" s="25" t="str">
        <f>IF(Tabela4[[#This Row],[Quantidade Atual]]&lt;50,IF(Tabela4[[#This Row],[Quantidade Atual]]&lt;21,"Comprar","Atenção"),"Ok")</f>
        <v>Ok</v>
      </c>
    </row>
    <row r="10" spans="2:8" x14ac:dyDescent="0.3">
      <c r="B10" t="s">
        <v>33</v>
      </c>
      <c r="C10" s="26" t="str">
        <f>IFERROR(INDEX(Tabela2[[Data]:[Mercadoria]],MATCH(Tabela4[[#This Row],[Produto]],Tabela2[Mercadoria],0),1),"")</f>
        <v/>
      </c>
      <c r="D10" s="25">
        <v>15</v>
      </c>
      <c r="E10">
        <f>SUMIF(Tabela2[Mercadoria],Tabela4[[#This Row],[Produto]],Tabela2[Quantidade])</f>
        <v>0</v>
      </c>
      <c r="F10" s="27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3</v>
      </c>
      <c r="G10">
        <f>SUM(Tabela4[[#This Row],[Quantidade Inicial]:[Quantidade Comprada]])-Tabela4[[#This Row],[Quantidade Vendida]]</f>
        <v>12</v>
      </c>
      <c r="H10" s="25" t="str">
        <f>IF(Tabela4[[#This Row],[Quantidade Atual]]&lt;50,IF(Tabela4[[#This Row],[Quantidade Atual]]&lt;21,"Comprar","Atenção"),"Ok")</f>
        <v>Comprar</v>
      </c>
    </row>
    <row r="11" spans="2:8" x14ac:dyDescent="0.3">
      <c r="B11" t="s">
        <v>21</v>
      </c>
      <c r="C11" s="26">
        <f>IFERROR(INDEX(Tabela2[[Data]:[Mercadoria]],MATCH(Tabela4[[#This Row],[Produto]],Tabela2[Mercadoria],0),1),"")</f>
        <v>42187</v>
      </c>
      <c r="D11" s="25">
        <v>25</v>
      </c>
      <c r="E11">
        <f>SUMIF(Tabela2[Mercadoria],Tabela4[[#This Row],[Produto]],Tabela2[Quantidade])</f>
        <v>150</v>
      </c>
      <c r="F11" s="27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16</v>
      </c>
      <c r="G11">
        <f>SUM(Tabela4[[#This Row],[Quantidade Inicial]:[Quantidade Comprada]])-Tabela4[[#This Row],[Quantidade Vendida]]</f>
        <v>159</v>
      </c>
      <c r="H11" s="25" t="str">
        <f>IF(Tabela4[[#This Row],[Quantidade Atual]]&lt;50,IF(Tabela4[[#This Row],[Quantidade Atual]]&lt;21,"Comprar","Atenção"),"Ok")</f>
        <v>Ok</v>
      </c>
    </row>
    <row r="12" spans="2:8" x14ac:dyDescent="0.3">
      <c r="B12" t="s">
        <v>27</v>
      </c>
      <c r="C12" s="26">
        <f>IFERROR(INDEX(Tabela2[[Data]:[Mercadoria]],MATCH(Tabela4[[#This Row],[Produto]],Tabela2[Mercadoria],0),1),"")</f>
        <v>42187</v>
      </c>
      <c r="D12" s="25">
        <v>0</v>
      </c>
      <c r="E12">
        <f>SUMIF(Tabela2[Mercadoria],Tabela4[[#This Row],[Produto]],Tabela2[Quantidade])</f>
        <v>150</v>
      </c>
      <c r="F12" s="27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0</v>
      </c>
      <c r="G12">
        <f>SUM(Tabela4[[#This Row],[Quantidade Inicial]:[Quantidade Comprada]])-Tabela4[[#This Row],[Quantidade Vendida]]</f>
        <v>150</v>
      </c>
      <c r="H12" s="25" t="str">
        <f>IF(Tabela4[[#This Row],[Quantidade Atual]]&lt;50,IF(Tabela4[[#This Row],[Quantidade Atual]]&lt;21,"Comprar","Atenção"),"Ok")</f>
        <v>Ok</v>
      </c>
    </row>
    <row r="13" spans="2:8" x14ac:dyDescent="0.3">
      <c r="B13" t="s">
        <v>30</v>
      </c>
      <c r="C13" s="26">
        <f>IFERROR(INDEX(Tabela2[[Data]:[Mercadoria]],MATCH(Tabela4[[#This Row],[Produto]],Tabela2[Mercadoria],0),1),"")</f>
        <v>42189</v>
      </c>
      <c r="D13" s="25">
        <v>0</v>
      </c>
      <c r="E13">
        <f>SUMIF(Tabela2[Mercadoria],Tabela4[[#This Row],[Produto]],Tabela2[Quantidade])</f>
        <v>300</v>
      </c>
      <c r="F13" s="27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87</v>
      </c>
      <c r="G13">
        <f>SUM(Tabela4[[#This Row],[Quantidade Inicial]:[Quantidade Comprada]])-Tabela4[[#This Row],[Quantidade Vendida]]</f>
        <v>213</v>
      </c>
      <c r="H13" s="25" t="str">
        <f>IF(Tabela4[[#This Row],[Quantidade Atual]]&lt;50,IF(Tabela4[[#This Row],[Quantidade Atual]]&lt;21,"Comprar","Atenção"),"Ok")</f>
        <v>Ok</v>
      </c>
    </row>
    <row r="14" spans="2:8" x14ac:dyDescent="0.3">
      <c r="B14" t="s">
        <v>35</v>
      </c>
      <c r="C14" s="26">
        <f>IFERROR(INDEX(Tabela2[[Data]:[Mercadoria]],MATCH(Tabela4[[#This Row],[Produto]],Tabela2[Mercadoria],0),1),"")</f>
        <v>42188</v>
      </c>
      <c r="D14" s="25">
        <v>30</v>
      </c>
      <c r="E14">
        <f>SUMIF(Tabela2[Mercadoria],Tabela4[[#This Row],[Produto]],Tabela2[Quantidade])</f>
        <v>100</v>
      </c>
      <c r="F14" s="27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0</v>
      </c>
      <c r="G14">
        <f>SUM(Tabela4[[#This Row],[Quantidade Inicial]:[Quantidade Comprada]])-Tabela4[[#This Row],[Quantidade Vendida]]</f>
        <v>130</v>
      </c>
      <c r="H14" s="25" t="str">
        <f>IF(Tabela4[[#This Row],[Quantidade Atual]]&lt;50,IF(Tabela4[[#This Row],[Quantidade Atual]]&lt;21,"Comprar","Atenção"),"Ok")</f>
        <v>Ok</v>
      </c>
    </row>
    <row r="15" spans="2:8" x14ac:dyDescent="0.3">
      <c r="B15" t="s">
        <v>36</v>
      </c>
      <c r="C15" s="26">
        <f>IFERROR(INDEX(Tabela2[[Data]:[Mercadoria]],MATCH(Tabela4[[#This Row],[Produto]],Tabela2[Mercadoria],0),1),"")</f>
        <v>42188</v>
      </c>
      <c r="D15" s="25">
        <v>0</v>
      </c>
      <c r="E15">
        <f>SUMIF(Tabela2[Mercadoria],Tabela4[[#This Row],[Produto]],Tabela2[Quantidade])</f>
        <v>100</v>
      </c>
      <c r="F15" s="27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0</v>
      </c>
      <c r="G15">
        <f>SUM(Tabela4[[#This Row],[Quantidade Inicial]:[Quantidade Comprada]])-Tabela4[[#This Row],[Quantidade Vendida]]</f>
        <v>100</v>
      </c>
      <c r="H15" s="25" t="str">
        <f>IF(Tabela4[[#This Row],[Quantidade Atual]]&lt;50,IF(Tabela4[[#This Row],[Quantidade Atual]]&lt;21,"Comprar","Atenção"),"Ok")</f>
        <v>Ok</v>
      </c>
    </row>
    <row r="16" spans="2:8" x14ac:dyDescent="0.3">
      <c r="B16" t="s">
        <v>32</v>
      </c>
      <c r="C16" s="26">
        <f>IFERROR(INDEX(Tabela2[[Data]:[Mercadoria]],MATCH(Tabela4[[#This Row],[Produto]],Tabela2[Mercadoria],0),1),"")</f>
        <v>43801</v>
      </c>
      <c r="D16" s="25">
        <v>0</v>
      </c>
      <c r="E16">
        <f>SUMIF(Tabela2[Mercadoria],Tabela4[[#This Row],[Produto]],Tabela2[Quantidade])</f>
        <v>150</v>
      </c>
      <c r="F16" s="27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0</v>
      </c>
      <c r="G16">
        <f>SUM(Tabela4[[#This Row],[Quantidade Inicial]:[Quantidade Comprada]])-Tabela4[[#This Row],[Quantidade Vendida]]</f>
        <v>150</v>
      </c>
      <c r="H16" s="25" t="str">
        <f>IF(Tabela4[[#This Row],[Quantidade Atual]]&lt;50,IF(Tabela4[[#This Row],[Quantidade Atual]]&lt;21,"Comprar","Atenção"),"Ok")</f>
        <v>Ok</v>
      </c>
    </row>
    <row r="17" spans="2:8" x14ac:dyDescent="0.3">
      <c r="B17" t="s">
        <v>18</v>
      </c>
      <c r="C17" s="26">
        <f>IFERROR(INDEX(Tabela2[[Data]:[Mercadoria]],MATCH(Tabela4[[#This Row],[Produto]],Tabela2[Mercadoria],0),1),"")</f>
        <v>42190</v>
      </c>
      <c r="D17" s="25">
        <v>0</v>
      </c>
      <c r="E17">
        <f>SUMIF(Tabela2[Mercadoria],Tabela4[[#This Row],[Produto]],Tabela2[Quantidade])</f>
        <v>570</v>
      </c>
      <c r="F17" s="27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10</v>
      </c>
      <c r="G17">
        <f>SUM(Tabela4[[#This Row],[Quantidade Inicial]:[Quantidade Comprada]])-Tabela4[[#This Row],[Quantidade Vendida]]</f>
        <v>560</v>
      </c>
      <c r="H17" s="25" t="str">
        <f>IF(Tabela4[[#This Row],[Quantidade Atual]]&lt;50,IF(Tabela4[[#This Row],[Quantidade Atual]]&lt;21,"Comprar","Atenção"),"Ok")</f>
        <v>Ok</v>
      </c>
    </row>
    <row r="18" spans="2:8" x14ac:dyDescent="0.3">
      <c r="B18" t="s">
        <v>22</v>
      </c>
      <c r="C18" s="26">
        <f>IFERROR(INDEX(Tabela2[[Data]:[Mercadoria]],MATCH(Tabela4[[#This Row],[Produto]],Tabela2[Mercadoria],0),1),"")</f>
        <v>42188</v>
      </c>
      <c r="D18" s="25">
        <v>0</v>
      </c>
      <c r="E18">
        <f>SUMIF(Tabela2[Mercadoria],Tabela4[[#This Row],[Produto]],Tabela2[Quantidade])</f>
        <v>110</v>
      </c>
      <c r="F18" s="27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0</v>
      </c>
      <c r="G18">
        <f>SUM(Tabela4[[#This Row],[Quantidade Inicial]:[Quantidade Comprada]])-Tabela4[[#This Row],[Quantidade Vendida]]</f>
        <v>110</v>
      </c>
      <c r="H18" s="25" t="str">
        <f>IF(Tabela4[[#This Row],[Quantidade Atual]]&lt;50,IF(Tabela4[[#This Row],[Quantidade Atual]]&lt;21,"Comprar","Atenção"),"Ok")</f>
        <v>Ok</v>
      </c>
    </row>
    <row r="19" spans="2:8" x14ac:dyDescent="0.3">
      <c r="B19" t="s">
        <v>77</v>
      </c>
      <c r="C19" s="26" t="str">
        <f>IFERROR(INDEX(Tabela2[[Data]:[Mercadoria]],MATCH(Tabela4[[#This Row],[Produto]],Tabela2[Mercadoria],0),1),"")</f>
        <v/>
      </c>
      <c r="D19" s="25">
        <v>39</v>
      </c>
      <c r="E19">
        <f>SUMIF(Tabela2[Mercadoria],Tabela4[[#This Row],[Produto]],Tabela2[Quantidade])</f>
        <v>0</v>
      </c>
      <c r="F19" s="27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6</v>
      </c>
      <c r="G19">
        <f>SUM(Tabela4[[#This Row],[Quantidade Inicial]:[Quantidade Comprada]])-Tabela4[[#This Row],[Quantidade Vendida]]</f>
        <v>33</v>
      </c>
      <c r="H19" s="25" t="str">
        <f>IF(Tabela4[[#This Row],[Quantidade Atual]]&lt;50,IF(Tabela4[[#This Row],[Quantidade Atual]]&lt;21,"Comprar","Atenção"),"Ok")</f>
        <v>Atenção</v>
      </c>
    </row>
    <row r="20" spans="2:8" x14ac:dyDescent="0.3">
      <c r="B20" t="s">
        <v>82</v>
      </c>
      <c r="C20" s="26">
        <f>IFERROR(INDEX(Tabela2[[Data]:[Mercadoria]],MATCH(Tabela4[[#This Row],[Produto]],Tabela2[Mercadoria],0),1),"")</f>
        <v>42188</v>
      </c>
      <c r="D20" s="25">
        <v>0</v>
      </c>
      <c r="E20">
        <f>SUMIF(Tabela2[Mercadoria],Tabela4[[#This Row],[Produto]],Tabela2[Quantidade])</f>
        <v>300</v>
      </c>
      <c r="F20" s="27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5</v>
      </c>
      <c r="G20">
        <f>SUM(Tabela4[[#This Row],[Quantidade Inicial]:[Quantidade Comprada]])-Tabela4[[#This Row],[Quantidade Vendida]]</f>
        <v>295</v>
      </c>
      <c r="H20" s="25" t="str">
        <f>IF(Tabela4[[#This Row],[Quantidade Atual]]&lt;50,IF(Tabela4[[#This Row],[Quantidade Atual]]&lt;21,"Comprar","Atenção"),"Ok")</f>
        <v>Ok</v>
      </c>
    </row>
    <row r="21" spans="2:8" x14ac:dyDescent="0.3">
      <c r="B21" t="s">
        <v>23</v>
      </c>
      <c r="C21" s="26">
        <f>IFERROR(INDEX(Tabela2[[Data]:[Mercadoria]],MATCH(Tabela4[[#This Row],[Produto]],Tabela2[Mercadoria],0),1),"")</f>
        <v>42188</v>
      </c>
      <c r="D21" s="25">
        <v>0</v>
      </c>
      <c r="E21">
        <f>SUMIF(Tabela2[Mercadoria],Tabela4[[#This Row],[Produto]],Tabela2[Quantidade])</f>
        <v>50</v>
      </c>
      <c r="F21" s="27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0</v>
      </c>
      <c r="G21">
        <f>SUM(Tabela4[[#This Row],[Quantidade Inicial]:[Quantidade Comprada]])-Tabela4[[#This Row],[Quantidade Vendida]]</f>
        <v>50</v>
      </c>
      <c r="H21" s="25" t="str">
        <f>IF(Tabela4[[#This Row],[Quantidade Atual]]&lt;50,IF(Tabela4[[#This Row],[Quantidade Atual]]&lt;21,"Comprar","Atenção"),"Ok")</f>
        <v>Ok</v>
      </c>
    </row>
    <row r="22" spans="2:8" x14ac:dyDescent="0.3">
      <c r="B22" t="s">
        <v>24</v>
      </c>
      <c r="C22" s="26" t="str">
        <f>IFERROR(INDEX(Tabela2[[Data]:[Mercadoria]],MATCH(Tabela4[[#This Row],[Produto]],Tabela2[Mercadoria],0),1),"")</f>
        <v/>
      </c>
      <c r="D22" s="25">
        <v>10</v>
      </c>
      <c r="E22">
        <f>SUMIF(Tabela2[Mercadoria],Tabela4[[#This Row],[Produto]],Tabela2[Quantidade])</f>
        <v>0</v>
      </c>
      <c r="F22" s="27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1.5</v>
      </c>
      <c r="G22">
        <f>SUM(Tabela4[[#This Row],[Quantidade Inicial]:[Quantidade Comprada]])-Tabela4[[#This Row],[Quantidade Vendida]]</f>
        <v>8.5</v>
      </c>
      <c r="H22" s="25" t="str">
        <f>IF(Tabela4[[#This Row],[Quantidade Atual]]&lt;50,IF(Tabela4[[#This Row],[Quantidade Atual]]&lt;21,"Comprar","Atenção"),"Ok")</f>
        <v>Comprar</v>
      </c>
    </row>
    <row r="23" spans="2:8" x14ac:dyDescent="0.3">
      <c r="B23" t="s">
        <v>83</v>
      </c>
      <c r="C23" s="26" t="str">
        <f>IFERROR(INDEX(Tabela2[[Data]:[Mercadoria]],MATCH(Tabela4[[#This Row],[Produto]],Tabela2[Mercadoria],0),1),"")</f>
        <v/>
      </c>
      <c r="D23" s="25">
        <v>100</v>
      </c>
      <c r="E23">
        <f>SUMIF(Tabela2[Mercadoria],Tabela4[[#This Row],[Produto]],Tabela2[Quantidade])</f>
        <v>0</v>
      </c>
      <c r="F23" s="27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4</v>
      </c>
      <c r="G23">
        <f>SUM(Tabela4[[#This Row],[Quantidade Inicial]:[Quantidade Comprada]])-Tabela4[[#This Row],[Quantidade Vendida]]</f>
        <v>96</v>
      </c>
      <c r="H23" s="25" t="str">
        <f>IF(Tabela4[[#This Row],[Quantidade Atual]]&lt;50,IF(Tabela4[[#This Row],[Quantidade Atual]]&lt;21,"Comprar","Atenção"),"Ok")</f>
        <v>Ok</v>
      </c>
    </row>
    <row r="24" spans="2:8" x14ac:dyDescent="0.3">
      <c r="B24" t="s">
        <v>26</v>
      </c>
      <c r="C24" s="26">
        <f>IFERROR(INDEX(Tabela2[[Data]:[Mercadoria]],MATCH(Tabela4[[#This Row],[Produto]],Tabela2[Mercadoria],0),1),"")</f>
        <v>42189</v>
      </c>
      <c r="D24" s="25">
        <v>0</v>
      </c>
      <c r="E24">
        <f>SUMIF(Tabela2[Mercadoria],Tabela4[[#This Row],[Produto]],Tabela2[Quantidade])</f>
        <v>200</v>
      </c>
      <c r="F24" s="27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0</v>
      </c>
      <c r="G24">
        <f>SUM(Tabela4[[#This Row],[Quantidade Inicial]:[Quantidade Comprada]])-Tabela4[[#This Row],[Quantidade Vendida]]</f>
        <v>200</v>
      </c>
      <c r="H24" s="25" t="str">
        <f>IF(Tabela4[[#This Row],[Quantidade Atual]]&lt;50,IF(Tabela4[[#This Row],[Quantidade Atual]]&lt;21,"Comprar","Atenção"),"Ok")</f>
        <v>Ok</v>
      </c>
    </row>
    <row r="25" spans="2:8" x14ac:dyDescent="0.3">
      <c r="B25" t="s">
        <v>19</v>
      </c>
      <c r="C25" s="26" t="str">
        <f>IFERROR(INDEX(Tabela2[[Data]:[Mercadoria]],MATCH(Tabela4[[#This Row],[Produto]],Tabela2[Mercadoria],0),1),"")</f>
        <v/>
      </c>
      <c r="D25" s="25">
        <v>30</v>
      </c>
      <c r="E25">
        <f>SUMIF(Tabela2[Mercadoria],Tabela4[[#This Row],[Produto]],Tabela2[Quantidade])</f>
        <v>0</v>
      </c>
      <c r="F25" s="27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0</v>
      </c>
      <c r="G25">
        <f>SUM(Tabela4[[#This Row],[Quantidade Inicial]:[Quantidade Comprada]])-Tabela4[[#This Row],[Quantidade Vendida]]</f>
        <v>30</v>
      </c>
      <c r="H25" s="25" t="str">
        <f>IF(Tabela4[[#This Row],[Quantidade Atual]]&lt;50,IF(Tabela4[[#This Row],[Quantidade Atual]]&lt;21,"Comprar","Atenção"),"Ok")</f>
        <v>Atenção</v>
      </c>
    </row>
    <row r="26" spans="2:8" x14ac:dyDescent="0.3">
      <c r="B26" t="s">
        <v>28</v>
      </c>
      <c r="C26" s="26" t="str">
        <f>IFERROR(INDEX(Tabela2[[Data]:[Mercadoria]],MATCH(Tabela4[[#This Row],[Produto]],Tabela2[Mercadoria],0),1),"")</f>
        <v/>
      </c>
      <c r="D26" s="25">
        <v>50</v>
      </c>
      <c r="E26">
        <f>SUMIF(Tabela2[Mercadoria],Tabela4[[#This Row],[Produto]],Tabela2[Quantidade])</f>
        <v>0</v>
      </c>
      <c r="F26" s="27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2</v>
      </c>
      <c r="G26">
        <f>SUM(Tabela4[[#This Row],[Quantidade Inicial]:[Quantidade Comprada]])-Tabela4[[#This Row],[Quantidade Vendida]]</f>
        <v>48</v>
      </c>
      <c r="H26" s="25" t="str">
        <f>IF(Tabela4[[#This Row],[Quantidade Atual]]&lt;50,IF(Tabela4[[#This Row],[Quantidade Atual]]&lt;21,"Comprar","Atenção"),"Ok")</f>
        <v>Atenção</v>
      </c>
    </row>
    <row r="27" spans="2:8" x14ac:dyDescent="0.3">
      <c r="B27" t="s">
        <v>25</v>
      </c>
      <c r="C27" s="26">
        <f>IFERROR(INDEX(Tabela2[[Data]:[Mercadoria]],MATCH(Tabela4[[#This Row],[Produto]],Tabela2[Mercadoria],0),1),"")</f>
        <v>42187</v>
      </c>
      <c r="D27" s="25">
        <v>0</v>
      </c>
      <c r="E27">
        <f>SUMIF(Tabela2[Mercadoria],Tabela4[[#This Row],[Produto]],Tabela2[Quantidade])</f>
        <v>80</v>
      </c>
      <c r="F27" s="27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0</v>
      </c>
      <c r="G27">
        <f>SUM(Tabela4[[#This Row],[Quantidade Inicial]:[Quantidade Comprada]])-Tabela4[[#This Row],[Quantidade Vendida]]</f>
        <v>80</v>
      </c>
      <c r="H27" s="25" t="str">
        <f>IF(Tabela4[[#This Row],[Quantidade Atual]]&lt;50,IF(Tabela4[[#This Row],[Quantidade Atual]]&lt;21,"Comprar","Atenção"),"Ok")</f>
        <v>Ok</v>
      </c>
    </row>
    <row r="28" spans="2:8" x14ac:dyDescent="0.3">
      <c r="B28" t="s">
        <v>31</v>
      </c>
      <c r="C28" s="26" t="str">
        <f>IFERROR(INDEX(Tabela2[[Data]:[Mercadoria]],MATCH(Tabela4[[#This Row],[Produto]],Tabela2[Mercadoria],0),1),"")</f>
        <v/>
      </c>
      <c r="D28" s="25">
        <v>20</v>
      </c>
      <c r="E28">
        <f>SUMIF(Tabela2[Mercadoria],Tabela4[[#This Row],[Produto]],Tabela2[Quantidade])</f>
        <v>0</v>
      </c>
      <c r="F28" s="27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1</v>
      </c>
      <c r="G28">
        <f>SUM(Tabela4[[#This Row],[Quantidade Inicial]:[Quantidade Comprada]])-Tabela4[[#This Row],[Quantidade Vendida]]</f>
        <v>19</v>
      </c>
      <c r="H28" s="25" t="str">
        <f>IF(Tabela4[[#This Row],[Quantidade Atual]]&lt;50,IF(Tabela4[[#This Row],[Quantidade Atual]]&lt;21,"Comprar","Atenção"),"Ok")</f>
        <v>Comprar</v>
      </c>
    </row>
  </sheetData>
  <conditionalFormatting sqref="H5:H28">
    <cfRule type="containsText" dxfId="67" priority="1" operator="containsText" text="Comprar">
      <formula>NOT(ISERROR(SEARCH("Comprar",H5)))</formula>
    </cfRule>
    <cfRule type="containsText" dxfId="66" priority="2" operator="containsText" text="Atenção">
      <formula>NOT(ISERROR(SEARCH("Atenção",H5)))</formula>
    </cfRule>
    <cfRule type="containsText" dxfId="65" priority="3" operator="containsText" text="Ok">
      <formula>NOT(ISERROR(SEARCH("Ok",H5)))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B2:E10"/>
  <sheetViews>
    <sheetView showGridLines="0" workbookViewId="0"/>
  </sheetViews>
  <sheetFormatPr defaultRowHeight="14.4" x14ac:dyDescent="0.3"/>
  <cols>
    <col min="2" max="2" width="20.88671875" bestFit="1" customWidth="1"/>
    <col min="3" max="3" width="10.5546875" bestFit="1" customWidth="1"/>
    <col min="4" max="4" width="36.77734375" customWidth="1"/>
    <col min="5" max="5" width="15.5546875" bestFit="1" customWidth="1"/>
  </cols>
  <sheetData>
    <row r="2" spans="2:5" s="10" customFormat="1" ht="28.05" customHeight="1" x14ac:dyDescent="0.3">
      <c r="B2" s="10" t="s">
        <v>7</v>
      </c>
    </row>
    <row r="3" spans="2:5" ht="24.6" customHeight="1" x14ac:dyDescent="0.3"/>
    <row r="4" spans="2:5" x14ac:dyDescent="0.3">
      <c r="B4" t="s">
        <v>7</v>
      </c>
      <c r="C4" t="s">
        <v>42</v>
      </c>
      <c r="D4" t="s">
        <v>98</v>
      </c>
      <c r="E4" t="s">
        <v>99</v>
      </c>
    </row>
    <row r="5" spans="2:5" ht="28.8" customHeight="1" x14ac:dyDescent="0.3">
      <c r="B5" t="s">
        <v>100</v>
      </c>
      <c r="C5" s="16">
        <v>43590</v>
      </c>
      <c r="D5" s="24" t="s">
        <v>103</v>
      </c>
      <c r="E5" s="11">
        <v>400000</v>
      </c>
    </row>
    <row r="6" spans="2:5" ht="28.8" customHeight="1" x14ac:dyDescent="0.3">
      <c r="B6" t="s">
        <v>11</v>
      </c>
      <c r="C6" s="16"/>
      <c r="D6" s="24"/>
      <c r="E6" s="11">
        <v>0</v>
      </c>
    </row>
    <row r="7" spans="2:5" ht="28.8" customHeight="1" x14ac:dyDescent="0.3">
      <c r="B7" t="s">
        <v>101</v>
      </c>
      <c r="C7" s="16"/>
      <c r="D7" s="24"/>
      <c r="E7" s="11">
        <v>0</v>
      </c>
    </row>
    <row r="8" spans="2:5" ht="28.8" customHeight="1" x14ac:dyDescent="0.3">
      <c r="B8" t="s">
        <v>102</v>
      </c>
      <c r="C8" s="16"/>
      <c r="D8" s="24"/>
      <c r="E8" s="11">
        <v>0</v>
      </c>
    </row>
    <row r="9" spans="2:5" ht="28.8" customHeight="1" x14ac:dyDescent="0.3">
      <c r="B9" t="s">
        <v>5</v>
      </c>
      <c r="C9" s="16"/>
      <c r="D9" s="24"/>
      <c r="E9" s="11">
        <v>0</v>
      </c>
    </row>
    <row r="10" spans="2:5" x14ac:dyDescent="0.3">
      <c r="B10" t="s">
        <v>54</v>
      </c>
      <c r="D10" s="24"/>
      <c r="E10" s="12">
        <f>SUBTOTAL(109,Tabela3[Valor])</f>
        <v>400000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B1:E26"/>
  <sheetViews>
    <sheetView showGridLines="0" workbookViewId="0">
      <selection activeCell="E4" sqref="E4"/>
    </sheetView>
  </sheetViews>
  <sheetFormatPr defaultRowHeight="14.4" x14ac:dyDescent="0.3"/>
  <cols>
    <col min="2" max="2" width="24.21875" bestFit="1" customWidth="1"/>
    <col min="3" max="5" width="34.33203125" customWidth="1"/>
  </cols>
  <sheetData>
    <row r="1" spans="2:5" s="25" customFormat="1" x14ac:dyDescent="0.3"/>
    <row r="2" spans="2:5" s="10" customFormat="1" ht="28.05" customHeight="1" x14ac:dyDescent="0.3">
      <c r="B2" s="10" t="s">
        <v>146</v>
      </c>
    </row>
    <row r="3" spans="2:5" s="25" customFormat="1" ht="24.6" customHeight="1" x14ac:dyDescent="0.3"/>
    <row r="4" spans="2:5" x14ac:dyDescent="0.3">
      <c r="C4" s="54" t="s">
        <v>131</v>
      </c>
      <c r="D4" s="54"/>
      <c r="E4" s="55">
        <f>SUM(E5:E6)</f>
        <v>710.8119999999999</v>
      </c>
    </row>
    <row r="5" spans="2:5" x14ac:dyDescent="0.3">
      <c r="C5" s="17"/>
      <c r="D5" s="56" t="s">
        <v>140</v>
      </c>
      <c r="E5" s="57">
        <f>Vendas!D17-Resultados!E6</f>
        <v>670.3119999999999</v>
      </c>
    </row>
    <row r="6" spans="2:5" x14ac:dyDescent="0.3">
      <c r="C6" s="17"/>
      <c r="D6" s="17" t="s">
        <v>141</v>
      </c>
      <c r="E6" s="53">
        <f>Vendas!D28</f>
        <v>40.5</v>
      </c>
    </row>
    <row r="7" spans="2:5" s="25" customFormat="1" x14ac:dyDescent="0.3">
      <c r="C7" s="17"/>
      <c r="D7" s="17"/>
      <c r="E7" s="53"/>
    </row>
    <row r="8" spans="2:5" x14ac:dyDescent="0.3">
      <c r="C8" s="17" t="s">
        <v>132</v>
      </c>
      <c r="D8" s="17"/>
      <c r="E8" s="53">
        <f>0.15*E4</f>
        <v>106.62179999999998</v>
      </c>
    </row>
    <row r="9" spans="2:5" ht="15" thickBot="1" x14ac:dyDescent="0.35">
      <c r="C9" s="58" t="s">
        <v>6</v>
      </c>
      <c r="D9" s="58"/>
      <c r="E9" s="59">
        <f>E4-E8</f>
        <v>604.19019999999989</v>
      </c>
    </row>
    <row r="10" spans="2:5" ht="15" thickTop="1" x14ac:dyDescent="0.3">
      <c r="C10" s="17"/>
      <c r="D10" s="17"/>
      <c r="E10" s="53"/>
    </row>
    <row r="11" spans="2:5" x14ac:dyDescent="0.3">
      <c r="C11" s="54" t="s">
        <v>133</v>
      </c>
      <c r="D11" s="54"/>
      <c r="E11" s="55">
        <f ca="1">SUM(E12:E13)</f>
        <v>55445.420726083794</v>
      </c>
    </row>
    <row r="12" spans="2:5" s="25" customFormat="1" x14ac:dyDescent="0.3">
      <c r="C12" s="17"/>
      <c r="D12" s="56" t="s">
        <v>142</v>
      </c>
      <c r="E12" s="57">
        <f ca="1">Tabela2[[#Totals],[Valor Pago]]</f>
        <v>7338.4207260837957</v>
      </c>
    </row>
    <row r="13" spans="2:5" x14ac:dyDescent="0.3">
      <c r="C13" s="17"/>
      <c r="D13" s="17" t="s">
        <v>143</v>
      </c>
      <c r="E13" s="53">
        <f>Tabela1[[#Totals],[Valor Final]]</f>
        <v>48107</v>
      </c>
    </row>
    <row r="14" spans="2:5" s="25" customFormat="1" ht="15" thickBot="1" x14ac:dyDescent="0.35">
      <c r="C14" s="58"/>
      <c r="D14" s="58"/>
      <c r="E14" s="59"/>
    </row>
    <row r="15" spans="2:5" ht="15.6" thickTop="1" thickBot="1" x14ac:dyDescent="0.35">
      <c r="C15" s="60" t="s">
        <v>134</v>
      </c>
      <c r="D15" s="60"/>
      <c r="E15" s="61">
        <f ca="1">E4-E11</f>
        <v>-54734.608726083796</v>
      </c>
    </row>
    <row r="16" spans="2:5" ht="15" thickTop="1" x14ac:dyDescent="0.3">
      <c r="C16" s="17"/>
      <c r="D16" s="17"/>
      <c r="E16" s="53"/>
    </row>
    <row r="17" spans="3:5" x14ac:dyDescent="0.3">
      <c r="C17" s="17" t="s">
        <v>135</v>
      </c>
      <c r="D17" s="17"/>
      <c r="E17" s="53">
        <f>Tabela3[[#Totals],[Valor]]</f>
        <v>400000</v>
      </c>
    </row>
    <row r="18" spans="3:5" x14ac:dyDescent="0.3">
      <c r="C18" s="17"/>
      <c r="D18" s="17"/>
      <c r="E18" s="53"/>
    </row>
    <row r="19" spans="3:5" x14ac:dyDescent="0.3">
      <c r="C19" s="17" t="s">
        <v>136</v>
      </c>
      <c r="D19" s="17"/>
      <c r="E19" s="53">
        <v>300</v>
      </c>
    </row>
    <row r="20" spans="3:5" x14ac:dyDescent="0.3">
      <c r="C20" s="17"/>
      <c r="D20" s="17"/>
      <c r="E20" s="53"/>
    </row>
    <row r="21" spans="3:5" ht="15" thickBot="1" x14ac:dyDescent="0.35">
      <c r="C21" s="62" t="s">
        <v>137</v>
      </c>
      <c r="D21" s="62"/>
      <c r="E21" s="63">
        <f ca="1">E15-E17-E19</f>
        <v>-455034.60872608377</v>
      </c>
    </row>
    <row r="22" spans="3:5" ht="15" thickTop="1" x14ac:dyDescent="0.3">
      <c r="C22" s="17"/>
      <c r="D22" s="17"/>
      <c r="E22" s="53"/>
    </row>
    <row r="23" spans="3:5" x14ac:dyDescent="0.3">
      <c r="C23" s="17" t="s">
        <v>138</v>
      </c>
      <c r="D23" s="17"/>
      <c r="E23" s="53">
        <f ca="1">IF(E21&gt;1000,0.3*E21,0)</f>
        <v>0</v>
      </c>
    </row>
    <row r="24" spans="3:5" x14ac:dyDescent="0.3">
      <c r="C24" s="17"/>
      <c r="D24" s="17"/>
      <c r="E24" s="53"/>
    </row>
    <row r="25" spans="3:5" ht="15" thickBot="1" x14ac:dyDescent="0.35">
      <c r="C25" s="62" t="s">
        <v>139</v>
      </c>
      <c r="D25" s="62"/>
      <c r="E25" s="63">
        <f ca="1">E21-E23</f>
        <v>-455034.60872608377</v>
      </c>
    </row>
    <row r="26" spans="3:5" ht="15" thickTop="1" x14ac:dyDescent="0.3"/>
  </sheetData>
  <conditionalFormatting sqref="E15 E21 E25">
    <cfRule type="cellIs" dxfId="56" priority="1" operator="greaterThan">
      <formula>0</formula>
    </cfRule>
    <cfRule type="cellIs" dxfId="55" priority="2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landscape" horizontalDpi="300" verticalDpi="300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B1:M51"/>
  <sheetViews>
    <sheetView showGridLines="0" topLeftCell="A28" workbookViewId="0">
      <selection activeCell="C48" sqref="C48"/>
    </sheetView>
  </sheetViews>
  <sheetFormatPr defaultRowHeight="14.4" x14ac:dyDescent="0.3"/>
  <cols>
    <col min="3" max="3" width="35.5546875" bestFit="1" customWidth="1"/>
    <col min="4" max="4" width="21.5546875" bestFit="1" customWidth="1"/>
    <col min="7" max="8" width="15.6640625" bestFit="1" customWidth="1"/>
    <col min="9" max="10" width="15.6640625" style="25" customWidth="1"/>
    <col min="13" max="13" width="17.6640625" bestFit="1" customWidth="1"/>
  </cols>
  <sheetData>
    <row r="1" spans="2:13" s="25" customFormat="1" x14ac:dyDescent="0.3"/>
    <row r="2" spans="2:13" s="10" customFormat="1" ht="28.05" customHeight="1" x14ac:dyDescent="0.3">
      <c r="B2" s="10" t="s">
        <v>144</v>
      </c>
    </row>
    <row r="3" spans="2:13" s="25" customFormat="1" ht="24.6" customHeight="1" x14ac:dyDescent="0.3">
      <c r="H3" s="39"/>
      <c r="I3" s="39"/>
      <c r="J3" s="39"/>
    </row>
    <row r="4" spans="2:13" ht="27" customHeight="1" thickBot="1" x14ac:dyDescent="0.35">
      <c r="M4" s="49" t="s">
        <v>126</v>
      </c>
    </row>
    <row r="5" spans="2:13" ht="15.6" thickTop="1" thickBot="1" x14ac:dyDescent="0.35"/>
    <row r="6" spans="2:13" s="25" customFormat="1" ht="15" thickTop="1" x14ac:dyDescent="0.3">
      <c r="B6" s="31"/>
      <c r="C6" s="32"/>
      <c r="D6" s="32"/>
      <c r="E6" s="32"/>
      <c r="F6" s="32"/>
      <c r="G6" s="32"/>
      <c r="H6" s="32"/>
      <c r="I6" s="32"/>
      <c r="J6" s="32"/>
      <c r="K6" s="32"/>
      <c r="L6" s="32"/>
      <c r="M6" s="33"/>
    </row>
    <row r="7" spans="2:13" x14ac:dyDescent="0.3">
      <c r="B7" s="34"/>
      <c r="E7" s="1"/>
      <c r="F7" s="1"/>
      <c r="G7" s="1"/>
      <c r="H7" s="1"/>
      <c r="I7" s="1"/>
      <c r="J7" s="1"/>
      <c r="K7" s="1"/>
      <c r="L7" s="1"/>
      <c r="M7" s="35"/>
    </row>
    <row r="8" spans="2:13" x14ac:dyDescent="0.3">
      <c r="B8" s="34"/>
      <c r="E8" s="1"/>
      <c r="F8" s="1"/>
      <c r="G8" s="1"/>
      <c r="H8" s="1"/>
      <c r="I8" s="1"/>
      <c r="J8" s="1"/>
      <c r="K8" s="1"/>
      <c r="L8" s="1"/>
      <c r="M8" s="35"/>
    </row>
    <row r="9" spans="2:13" ht="18" x14ac:dyDescent="0.35">
      <c r="B9" s="34"/>
      <c r="C9" s="40" t="s">
        <v>121</v>
      </c>
      <c r="D9" s="41">
        <f>Tabela5[[#Totals],[Total para o Cliente]]</f>
        <v>647.91199999999992</v>
      </c>
      <c r="E9" s="1"/>
      <c r="F9" s="1"/>
      <c r="G9" s="1"/>
      <c r="H9" s="1"/>
      <c r="I9" s="1"/>
      <c r="J9" s="1"/>
      <c r="K9" s="1"/>
      <c r="L9" s="1"/>
      <c r="M9" s="35"/>
    </row>
    <row r="10" spans="2:13" ht="18" x14ac:dyDescent="0.35">
      <c r="B10" s="34"/>
      <c r="C10" s="42" t="s">
        <v>122</v>
      </c>
      <c r="D10" s="43">
        <f>Tabela511[[#Totals],[Total para o Cliente]]</f>
        <v>62.9</v>
      </c>
      <c r="E10" s="1"/>
      <c r="F10" s="1"/>
      <c r="G10" s="1"/>
      <c r="H10" s="1"/>
      <c r="I10" s="1"/>
      <c r="J10" s="1"/>
      <c r="K10" s="1"/>
      <c r="L10" s="1"/>
      <c r="M10" s="35"/>
    </row>
    <row r="11" spans="2:13" ht="18" x14ac:dyDescent="0.35">
      <c r="B11" s="34"/>
      <c r="C11" s="42" t="s">
        <v>123</v>
      </c>
      <c r="D11" s="43">
        <f>Tabela51112[[#Totals],[Total para o Cliente]]</f>
        <v>0</v>
      </c>
      <c r="E11" s="1"/>
      <c r="F11" s="1"/>
      <c r="G11" s="1"/>
      <c r="H11" s="1"/>
      <c r="I11" s="1"/>
      <c r="J11" s="1"/>
      <c r="K11" s="1"/>
      <c r="L11" s="1"/>
      <c r="M11" s="35"/>
    </row>
    <row r="12" spans="2:13" ht="18" x14ac:dyDescent="0.35">
      <c r="B12" s="34"/>
      <c r="C12" s="42" t="s">
        <v>124</v>
      </c>
      <c r="D12" s="43">
        <f>Tabela511127[[#Totals],[Total para o Cliente]]</f>
        <v>0</v>
      </c>
      <c r="E12" s="1"/>
      <c r="F12" s="1"/>
      <c r="G12" s="1"/>
      <c r="H12" s="1"/>
      <c r="I12" s="1"/>
      <c r="J12" s="1"/>
      <c r="K12" s="1"/>
      <c r="L12" s="1"/>
      <c r="M12" s="35"/>
    </row>
    <row r="13" spans="2:13" ht="18" x14ac:dyDescent="0.35">
      <c r="B13" s="34"/>
      <c r="C13" s="44" t="s">
        <v>125</v>
      </c>
      <c r="D13" s="45">
        <f>Tabela511128[[#Totals],[Total para o Cliente]]</f>
        <v>0</v>
      </c>
      <c r="E13" s="1"/>
      <c r="F13" s="1"/>
      <c r="G13" s="1"/>
      <c r="H13" s="1"/>
      <c r="I13" s="1"/>
      <c r="J13" s="1"/>
      <c r="K13" s="1"/>
      <c r="L13" s="1"/>
      <c r="M13" s="35"/>
    </row>
    <row r="14" spans="2:13" ht="18" x14ac:dyDescent="0.35">
      <c r="B14" s="34"/>
      <c r="C14" s="46"/>
      <c r="D14" s="46"/>
      <c r="E14" s="1"/>
      <c r="F14" s="1"/>
      <c r="G14" s="1"/>
      <c r="H14" s="1"/>
      <c r="I14" s="1"/>
      <c r="J14" s="1"/>
      <c r="K14" s="1"/>
      <c r="L14" s="1"/>
      <c r="M14" s="35"/>
    </row>
    <row r="15" spans="2:13" ht="18" x14ac:dyDescent="0.35">
      <c r="B15" s="34"/>
      <c r="C15" s="46"/>
      <c r="D15" s="46"/>
      <c r="E15" s="1"/>
      <c r="F15" s="1"/>
      <c r="G15" s="1"/>
      <c r="H15" s="1"/>
      <c r="I15" s="1"/>
      <c r="J15" s="1"/>
      <c r="K15" s="1"/>
      <c r="L15" s="1"/>
      <c r="M15" s="35"/>
    </row>
    <row r="16" spans="2:13" ht="18" x14ac:dyDescent="0.35">
      <c r="B16" s="34"/>
      <c r="C16" s="46"/>
      <c r="D16" s="46"/>
      <c r="E16" s="1"/>
      <c r="F16" s="1"/>
      <c r="G16" s="1"/>
      <c r="H16" s="1"/>
      <c r="I16" s="1"/>
      <c r="J16" s="1"/>
      <c r="K16" s="1"/>
      <c r="L16" s="1"/>
      <c r="M16" s="35"/>
    </row>
    <row r="17" spans="2:13" ht="18" x14ac:dyDescent="0.35">
      <c r="B17" s="34"/>
      <c r="C17" s="47" t="str">
        <f>"Total de Vendas de "&amp;M4</f>
        <v>Total de Vendas de Julho</v>
      </c>
      <c r="D17" s="48">
        <f>SUM(D9:D13)</f>
        <v>710.8119999999999</v>
      </c>
      <c r="E17" s="1"/>
      <c r="F17" s="1"/>
      <c r="G17" s="1"/>
      <c r="H17" s="1"/>
      <c r="I17" s="1"/>
      <c r="J17" s="1"/>
      <c r="K17" s="1"/>
      <c r="L17" s="1"/>
      <c r="M17" s="35"/>
    </row>
    <row r="18" spans="2:13" x14ac:dyDescent="0.3">
      <c r="B18" s="34"/>
      <c r="C18" s="1"/>
      <c r="D18" s="1"/>
      <c r="E18" s="1"/>
      <c r="F18" s="1"/>
      <c r="G18" s="1"/>
      <c r="H18" s="1"/>
      <c r="I18" s="1"/>
      <c r="J18" s="1"/>
      <c r="K18" s="1"/>
      <c r="L18" s="1"/>
      <c r="M18" s="35"/>
    </row>
    <row r="19" spans="2:13" x14ac:dyDescent="0.3">
      <c r="B19" s="34"/>
      <c r="C19" s="1"/>
      <c r="D19" s="1"/>
      <c r="E19" s="1"/>
      <c r="F19" s="1"/>
      <c r="G19" s="1"/>
      <c r="H19" s="1"/>
      <c r="I19" s="1"/>
      <c r="J19" s="1"/>
      <c r="K19" s="1"/>
      <c r="L19" s="1"/>
      <c r="M19" s="35"/>
    </row>
    <row r="20" spans="2:13" x14ac:dyDescent="0.3">
      <c r="B20" s="34"/>
      <c r="C20" s="1"/>
      <c r="D20" s="1"/>
      <c r="E20" s="1"/>
      <c r="F20" s="1"/>
      <c r="G20" s="1"/>
      <c r="H20" s="1"/>
      <c r="I20" s="1"/>
      <c r="J20" s="1"/>
      <c r="K20" s="1"/>
      <c r="L20" s="1"/>
      <c r="M20" s="35"/>
    </row>
    <row r="21" spans="2:13" ht="15" thickBot="1" x14ac:dyDescent="0.35">
      <c r="B21" s="36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8"/>
    </row>
    <row r="22" spans="2:13" ht="15" thickTop="1" x14ac:dyDescent="0.3"/>
    <row r="23" spans="2:13" ht="15" thickBot="1" x14ac:dyDescent="0.35">
      <c r="G23" s="39"/>
    </row>
    <row r="24" spans="2:13" ht="15" thickTop="1" x14ac:dyDescent="0.3">
      <c r="B24" s="31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3"/>
    </row>
    <row r="25" spans="2:13" x14ac:dyDescent="0.3">
      <c r="B25" s="34"/>
      <c r="C25" s="1"/>
      <c r="D25" s="1"/>
      <c r="E25" s="1"/>
      <c r="F25" s="1"/>
      <c r="G25" s="1"/>
      <c r="H25" s="1"/>
      <c r="I25" s="1"/>
      <c r="J25" s="1"/>
      <c r="K25" s="1"/>
      <c r="L25" s="1"/>
      <c r="M25" s="35"/>
    </row>
    <row r="26" spans="2:13" ht="18" x14ac:dyDescent="0.35">
      <c r="B26" s="34"/>
      <c r="C26" s="40" t="s">
        <v>127</v>
      </c>
      <c r="D26" s="50">
        <f>SUM(COUNTIF(Tabela5[Valor de Entrega],"&gt;0"),COUNTIF(Tabela511[Valor de Entrega],"&gt;0"),COUNTIF(Tabela51112[Valor de Entrega],"&gt;0"),COUNTIF(Tabela511127[Valor de Entrega],"&gt;0"),COUNTIF(Tabela511128[Valor de Entrega],"&gt;0"))/SUM('Semana 5'!N32,'Semana 4'!N32,'Semana 3'!N32,'Semana 2'!N33,'Semana 1'!N32)</f>
        <v>0.4</v>
      </c>
      <c r="E26" s="1"/>
      <c r="F26" s="1"/>
      <c r="G26" s="1"/>
      <c r="H26" s="1"/>
      <c r="I26" s="1"/>
      <c r="J26" s="1"/>
      <c r="K26" s="1"/>
      <c r="L26" s="1"/>
      <c r="M26" s="35"/>
    </row>
    <row r="27" spans="2:13" ht="18" x14ac:dyDescent="0.35">
      <c r="B27" s="34"/>
      <c r="C27" s="40" t="s">
        <v>128</v>
      </c>
      <c r="D27" s="51">
        <f>SUM(SUMIF(Tabela5[Valor de Entrega],"&gt;0",Tabela5[Total para o Cliente]),SUMIF(Tabela511[Valor de Entrega],"&gt;0",Tabela511[Total para o Cliente]),SUMIF(Tabela51112[Valor de Entrega],"&gt;0",Tabela51112[Total para o Cliente]),SUMIF(Tabela511127[Valor de Entrega],"&gt;0",Tabela511127[Total para o Cliente]),SUMIF(Tabela511128[Valor de Entrega],"&gt;0",Tabela511128[Total para o Cliente]))</f>
        <v>377.642</v>
      </c>
      <c r="E27" s="1"/>
      <c r="F27" s="1"/>
      <c r="G27" s="1"/>
      <c r="H27" s="1"/>
      <c r="I27" s="1"/>
      <c r="J27" s="1"/>
      <c r="K27" s="1"/>
      <c r="L27" s="1"/>
      <c r="M27" s="35"/>
    </row>
    <row r="28" spans="2:13" ht="18" x14ac:dyDescent="0.35">
      <c r="B28" s="34"/>
      <c r="C28" s="44" t="s">
        <v>129</v>
      </c>
      <c r="D28" s="52">
        <f>SUM(Tabela5[[#Totals],[Valor de Entrega]],Tabela511[[#Totals],[Valor de Entrega]],Tabela51112[[#Totals],[Valor de Entrega]],Tabela511127[[#Totals],[Valor de Entrega]],Tabela511128[[#Totals],[Valor de Entrega]])</f>
        <v>40.5</v>
      </c>
      <c r="E28" s="1"/>
      <c r="F28" s="1"/>
      <c r="G28" s="1"/>
      <c r="H28" s="1"/>
      <c r="I28" s="1"/>
      <c r="J28" s="1"/>
      <c r="K28" s="1"/>
      <c r="L28" s="1"/>
      <c r="M28" s="35"/>
    </row>
    <row r="29" spans="2:13" x14ac:dyDescent="0.3">
      <c r="B29" s="34"/>
      <c r="C29" s="1"/>
      <c r="D29" s="1"/>
      <c r="E29" s="1"/>
      <c r="F29" s="1"/>
      <c r="G29" s="1"/>
      <c r="H29" s="1"/>
      <c r="I29" s="1"/>
      <c r="J29" s="1"/>
      <c r="K29" s="1"/>
      <c r="L29" s="1"/>
      <c r="M29" s="35"/>
    </row>
    <row r="30" spans="2:13" x14ac:dyDescent="0.3">
      <c r="B30" s="34"/>
      <c r="C30" s="1"/>
      <c r="D30" s="1"/>
      <c r="E30" s="1"/>
      <c r="F30" s="1"/>
      <c r="G30" s="1"/>
      <c r="H30" s="1"/>
      <c r="I30" s="1"/>
      <c r="J30" s="1"/>
      <c r="K30" s="1"/>
      <c r="L30" s="1"/>
      <c r="M30" s="35"/>
    </row>
    <row r="31" spans="2:13" x14ac:dyDescent="0.3">
      <c r="B31" s="34"/>
      <c r="C31" s="1"/>
      <c r="D31" s="1"/>
      <c r="E31" s="1"/>
      <c r="F31" s="1"/>
      <c r="G31" s="1"/>
      <c r="H31" s="1"/>
      <c r="I31" s="1"/>
      <c r="J31" s="1"/>
      <c r="K31" s="1"/>
      <c r="L31" s="1"/>
      <c r="M31" s="35"/>
    </row>
    <row r="32" spans="2:13" x14ac:dyDescent="0.3">
      <c r="B32" s="34"/>
      <c r="C32" s="1"/>
      <c r="D32" s="1"/>
      <c r="E32" s="1"/>
      <c r="F32" s="1"/>
      <c r="G32" s="1"/>
      <c r="H32" s="1"/>
      <c r="I32" s="1"/>
      <c r="J32" s="1"/>
      <c r="K32" s="1"/>
      <c r="L32" s="1"/>
      <c r="M32" s="35"/>
    </row>
    <row r="33" spans="2:13" ht="18" x14ac:dyDescent="0.35">
      <c r="B33" s="34"/>
      <c r="C33" s="47" t="s">
        <v>119</v>
      </c>
      <c r="D33" s="48">
        <f>SUM(Tabela5[[#Totals],[Total para o Cliente]],Tabela511[[#Totals],[Total para o Cliente]],Tabela51112[[#Totals],[Total para o Cliente]],Tabela511127[[#Totals],[Total para o Cliente]],Tabela511128[[#Totals],[Total para o Cliente]])/SUM('Semana 1'!N32,'Semana 2'!N33,'Semana 3'!N32,'Semana 4'!N32,'Semana 5'!N32,)</f>
        <v>47.387466666666661</v>
      </c>
      <c r="E33" s="1"/>
      <c r="F33" s="1"/>
      <c r="G33" s="1"/>
      <c r="H33" s="1"/>
      <c r="I33" s="1"/>
      <c r="J33" s="1"/>
      <c r="K33" s="1"/>
      <c r="L33" s="1"/>
      <c r="M33" s="35"/>
    </row>
    <row r="34" spans="2:13" x14ac:dyDescent="0.3">
      <c r="B34" s="34"/>
      <c r="C34" s="1"/>
      <c r="D34" s="1"/>
      <c r="E34" s="1"/>
      <c r="F34" s="1"/>
      <c r="G34" s="1"/>
      <c r="H34" s="1"/>
      <c r="I34" s="1"/>
      <c r="J34" s="1"/>
      <c r="K34" s="1"/>
      <c r="L34" s="1"/>
      <c r="M34" s="35"/>
    </row>
    <row r="35" spans="2:13" x14ac:dyDescent="0.3">
      <c r="B35" s="34"/>
      <c r="C35" s="1"/>
      <c r="D35" s="1"/>
      <c r="E35" s="1"/>
      <c r="F35" s="1"/>
      <c r="G35" s="1"/>
      <c r="H35" s="1"/>
      <c r="I35" s="1"/>
      <c r="J35" s="1"/>
      <c r="K35" s="1"/>
      <c r="L35" s="1"/>
      <c r="M35" s="35"/>
    </row>
    <row r="36" spans="2:13" ht="15" thickBot="1" x14ac:dyDescent="0.35">
      <c r="B36" s="36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8"/>
    </row>
    <row r="37" spans="2:13" ht="15" thickTop="1" x14ac:dyDescent="0.3"/>
    <row r="38" spans="2:13" ht="15" thickBot="1" x14ac:dyDescent="0.35"/>
    <row r="39" spans="2:13" ht="15" thickTop="1" x14ac:dyDescent="0.3">
      <c r="B39" s="31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3"/>
    </row>
    <row r="40" spans="2:13" x14ac:dyDescent="0.3">
      <c r="B40" s="34"/>
      <c r="C40" s="1"/>
      <c r="D40" s="1"/>
      <c r="E40" s="1"/>
      <c r="F40" s="1"/>
      <c r="G40" s="1"/>
      <c r="H40" s="1"/>
      <c r="I40" s="1"/>
      <c r="J40" s="1"/>
      <c r="K40" s="1"/>
      <c r="L40" s="1"/>
      <c r="M40" s="35"/>
    </row>
    <row r="41" spans="2:13" ht="18" x14ac:dyDescent="0.35">
      <c r="B41" s="34"/>
      <c r="C41" s="47" t="s">
        <v>120</v>
      </c>
      <c r="D41" s="1"/>
      <c r="E41" s="1"/>
      <c r="F41" s="1"/>
      <c r="G41" s="1"/>
      <c r="H41" s="1"/>
      <c r="I41" s="1"/>
      <c r="J41" s="1"/>
      <c r="K41" s="1"/>
      <c r="L41" s="1"/>
      <c r="M41" s="35"/>
    </row>
    <row r="42" spans="2:13" x14ac:dyDescent="0.3">
      <c r="B42" s="34"/>
      <c r="C42" s="1"/>
      <c r="D42" s="1"/>
      <c r="E42" s="1"/>
      <c r="F42" s="1"/>
      <c r="G42" s="1"/>
      <c r="H42" s="1"/>
      <c r="I42" s="1"/>
      <c r="J42" s="1"/>
      <c r="K42" s="1"/>
      <c r="L42" s="1"/>
      <c r="M42" s="35"/>
    </row>
    <row r="43" spans="2:13" ht="18" x14ac:dyDescent="0.35">
      <c r="B43" s="34"/>
      <c r="C43" s="1"/>
      <c r="D43" s="40" t="s">
        <v>130</v>
      </c>
      <c r="E43" s="1"/>
      <c r="F43" s="1"/>
      <c r="G43" s="1"/>
      <c r="H43" s="1"/>
      <c r="I43" s="1"/>
      <c r="J43" s="1"/>
      <c r="K43" s="1"/>
      <c r="L43" s="1"/>
      <c r="M43" s="35"/>
    </row>
    <row r="44" spans="2:13" ht="18" x14ac:dyDescent="0.35">
      <c r="B44" s="34"/>
      <c r="C44" s="40" t="s">
        <v>71</v>
      </c>
      <c r="D44" s="40">
        <f>SUM(COUNTIFS(Tabela5[Entrega],Vendas!C44,Tabela5[Total para o Cliente],"&gt;0"),COUNTIFS(Tabela511[Entrega],Vendas!C44,Tabela511[Total para o Cliente],"&gt;0"),COUNTIFS(Tabela51112[Entrega],Vendas!C44,Tabela51112[Total para o Cliente],"&gt;0"),COUNTIFS(Tabela511127[Entrega],Vendas!C44,Tabela511127[Total para o Cliente],"&gt;0"),COUNTIFS(Tabela511128[Entrega],Vendas!C44,Tabela511128[Total para o Cliente],"&gt;0"))</f>
        <v>7</v>
      </c>
      <c r="E44" s="1"/>
      <c r="F44" s="1"/>
      <c r="G44" s="1"/>
      <c r="H44" s="1"/>
      <c r="I44" s="1"/>
      <c r="J44" s="1"/>
      <c r="K44" s="1"/>
      <c r="L44" s="1"/>
      <c r="M44" s="35"/>
    </row>
    <row r="45" spans="2:13" ht="18" x14ac:dyDescent="0.35">
      <c r="B45" s="34"/>
      <c r="C45" s="40" t="s">
        <v>69</v>
      </c>
      <c r="D45" s="40">
        <f>SUM(COUNTIFS(Tabela5[Entrega],Vendas!C45,Tabela5[Total para o Cliente],"&gt;0"),COUNTIFS(Tabela511[Entrega],Vendas!C45,Tabela511[Total para o Cliente],"&gt;0"),COUNTIFS(Tabela51112[Entrega],Vendas!C45,Tabela51112[Total para o Cliente],"&gt;0"),COUNTIFS(Tabela511127[Entrega],Vendas!C45,Tabela511127[Total para o Cliente],"&gt;0"),COUNTIFS(Tabela511128[Entrega],Vendas!C45,Tabela511128[Total para o Cliente],"&gt;0"))</f>
        <v>1</v>
      </c>
      <c r="E45" s="1"/>
      <c r="F45" s="1"/>
      <c r="G45" s="1"/>
      <c r="H45" s="1"/>
      <c r="I45" s="1"/>
      <c r="J45" s="1"/>
      <c r="K45" s="1"/>
      <c r="L45" s="1"/>
      <c r="M45" s="35"/>
    </row>
    <row r="46" spans="2:13" ht="18" x14ac:dyDescent="0.35">
      <c r="B46" s="34"/>
      <c r="C46" s="40" t="s">
        <v>73</v>
      </c>
      <c r="D46" s="40">
        <f>SUM(COUNTIFS(Tabela5[Entrega],Vendas!C46,Tabela5[Total para o Cliente],"&gt;0"),COUNTIFS(Tabela511[Entrega],Vendas!C46,Tabela511[Total para o Cliente],"&gt;0"),COUNTIFS(Tabela51112[Entrega],Vendas!C46,Tabela51112[Total para o Cliente],"&gt;0"),COUNTIFS(Tabela511127[Entrega],Vendas!C46,Tabela511127[Total para o Cliente],"&gt;0"),COUNTIFS(Tabela511128[Entrega],Vendas!C46,Tabela511128[Total para o Cliente],"&gt;0"))</f>
        <v>3</v>
      </c>
      <c r="E46" s="1"/>
      <c r="F46" s="1"/>
      <c r="G46" s="1"/>
      <c r="H46" s="1"/>
      <c r="I46" s="1"/>
      <c r="J46" s="1"/>
      <c r="K46" s="1"/>
      <c r="L46" s="1"/>
      <c r="M46" s="35"/>
    </row>
    <row r="47" spans="2:13" ht="18" x14ac:dyDescent="0.35">
      <c r="B47" s="34"/>
      <c r="C47" s="40" t="s">
        <v>75</v>
      </c>
      <c r="D47" s="40">
        <f>SUM(COUNTIFS(Tabela5[Entrega],Vendas!C47,Tabela5[Total para o Cliente],"&gt;0"),COUNTIFS(Tabela511[Entrega],Vendas!C47,Tabela511[Total para o Cliente],"&gt;0"),COUNTIFS(Tabela51112[Entrega],Vendas!C47,Tabela51112[Total para o Cliente],"&gt;0"),COUNTIFS(Tabela511127[Entrega],Vendas!C47,Tabela511127[Total para o Cliente],"&gt;0"),COUNTIFS(Tabela511128[Entrega],Vendas!C47,Tabela511128[Total para o Cliente],"&gt;0"))</f>
        <v>2</v>
      </c>
      <c r="E47" s="1"/>
      <c r="F47" s="1"/>
      <c r="G47" s="1"/>
      <c r="H47" s="1"/>
      <c r="I47" s="1"/>
      <c r="J47" s="1"/>
      <c r="K47" s="1"/>
      <c r="L47" s="1"/>
      <c r="M47" s="35"/>
    </row>
    <row r="48" spans="2:13" ht="18" x14ac:dyDescent="0.35">
      <c r="B48" s="34"/>
      <c r="C48" s="44" t="s">
        <v>76</v>
      </c>
      <c r="D48" s="44">
        <f>SUM(COUNTIFS(Tabela5[Entrega],Vendas!C48,Tabela5[Total para o Cliente],"&gt;0"),COUNTIFS(Tabela511[Entrega],Vendas!C48,Tabela511[Total para o Cliente],"&gt;0"),COUNTIFS(Tabela51112[Entrega],Vendas!C48,Tabela51112[Total para o Cliente],"&gt;0"),COUNTIFS(Tabela511127[Entrega],Vendas!C48,Tabela511127[Total para o Cliente],"&gt;0"),COUNTIFS(Tabela511128[Entrega],Vendas!C48,Tabela511128[Total para o Cliente],"&gt;0"))</f>
        <v>1</v>
      </c>
      <c r="E48" s="1"/>
      <c r="F48" s="1"/>
      <c r="G48" s="1"/>
      <c r="H48" s="1"/>
      <c r="I48" s="1"/>
      <c r="J48" s="1"/>
      <c r="K48" s="1"/>
      <c r="L48" s="1"/>
      <c r="M48" s="35"/>
    </row>
    <row r="49" spans="2:13" x14ac:dyDescent="0.3">
      <c r="B49" s="34"/>
      <c r="C49" s="1"/>
      <c r="E49" s="1"/>
      <c r="F49" s="1"/>
      <c r="G49" s="1"/>
      <c r="H49" s="1"/>
      <c r="I49" s="1"/>
      <c r="J49" s="1"/>
      <c r="K49" s="1"/>
      <c r="L49" s="1"/>
      <c r="M49" s="35"/>
    </row>
    <row r="50" spans="2:13" ht="15" thickBot="1" x14ac:dyDescent="0.35">
      <c r="B50" s="36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8"/>
    </row>
    <row r="51" spans="2:13" ht="15" thickTop="1" x14ac:dyDescent="0.3"/>
  </sheetData>
  <phoneticPr fontId="4" type="noConversion"/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B796B-B5EF-4497-966C-965E5805240B}">
  <sheetPr codeName="Planilha8"/>
  <dimension ref="A1:N33"/>
  <sheetViews>
    <sheetView showGridLines="0" workbookViewId="0">
      <selection activeCell="N6" sqref="N6"/>
    </sheetView>
  </sheetViews>
  <sheetFormatPr defaultRowHeight="14.4" x14ac:dyDescent="0.3"/>
  <cols>
    <col min="1" max="1" width="8.88671875" style="25"/>
    <col min="3" max="3" width="25.6640625" bestFit="1" customWidth="1"/>
    <col min="4" max="4" width="10.5546875" bestFit="1" customWidth="1"/>
    <col min="5" max="5" width="9.44140625" customWidth="1"/>
    <col min="6" max="6" width="9" customWidth="1"/>
    <col min="7" max="7" width="12.33203125" customWidth="1"/>
    <col min="8" max="8" width="14.6640625" customWidth="1"/>
    <col min="9" max="9" width="10.33203125" bestFit="1" customWidth="1"/>
    <col min="10" max="10" width="10.6640625" customWidth="1"/>
    <col min="11" max="11" width="10.21875" bestFit="1" customWidth="1"/>
    <col min="12" max="12" width="16.33203125" customWidth="1"/>
    <col min="13" max="13" width="10.33203125" bestFit="1" customWidth="1"/>
    <col min="14" max="14" width="18.88671875" customWidth="1"/>
  </cols>
  <sheetData>
    <row r="1" spans="3:14" s="25" customFormat="1" x14ac:dyDescent="0.3"/>
    <row r="2" spans="3:14" s="28" customFormat="1" ht="28.05" customHeight="1" x14ac:dyDescent="0.3">
      <c r="C2" s="28" t="s">
        <v>116</v>
      </c>
    </row>
    <row r="3" spans="3:14" s="25" customFormat="1" ht="24.6" customHeight="1" x14ac:dyDescent="0.3"/>
    <row r="4" spans="3:14" x14ac:dyDescent="0.3">
      <c r="C4" t="s">
        <v>111</v>
      </c>
      <c r="D4" t="s">
        <v>42</v>
      </c>
      <c r="E4" t="s">
        <v>105</v>
      </c>
      <c r="F4" t="s">
        <v>68</v>
      </c>
      <c r="G4" t="s">
        <v>62</v>
      </c>
      <c r="H4" t="s">
        <v>59</v>
      </c>
      <c r="I4" t="s">
        <v>112</v>
      </c>
      <c r="J4" t="s">
        <v>60</v>
      </c>
      <c r="K4" t="s">
        <v>113</v>
      </c>
      <c r="L4" t="s">
        <v>114</v>
      </c>
      <c r="M4" t="s">
        <v>54</v>
      </c>
      <c r="N4" t="s">
        <v>115</v>
      </c>
    </row>
    <row r="5" spans="3:14" s="25" customFormat="1" x14ac:dyDescent="0.3">
      <c r="C5" s="25">
        <v>13</v>
      </c>
      <c r="D5" s="26">
        <v>42190</v>
      </c>
      <c r="E5" s="25" t="s">
        <v>29</v>
      </c>
      <c r="F5" s="27" t="str">
        <f>IFERROR(VLOOKUP(Tabela5[[#This Row],[Produto]],cálculos!$H$3:$K$26,4,0),"")</f>
        <v>Pacote</v>
      </c>
      <c r="G5" s="25">
        <v>10</v>
      </c>
      <c r="H5" s="11">
        <f>IFERROR(VLOOKUP(Tabela5[[#This Row],[Produto]],cálculos!$H$3:$K$26,3,0),"")</f>
        <v>1.1499999999999999</v>
      </c>
      <c r="I5" s="11">
        <f>IFERROR(Tabela5[[#This Row],[Preço Unitário]]*Tabela5[[#This Row],[Quantidade]],"")</f>
        <v>11.5</v>
      </c>
      <c r="J5" s="15"/>
      <c r="K5" s="25" t="s">
        <v>76</v>
      </c>
      <c r="L5" s="11">
        <f>IFERROR(IF(Tabela5[[#This Row],[Entrega]]=K6,0,VLOOKUP(Tabela5[[#This Row],[Entrega]],cálculos!$A$3:$B$7,2,0)),0)</f>
        <v>0</v>
      </c>
      <c r="M5" s="12">
        <f>IFERROR(SUM(Tabela5[[#This Row],[Subtotal]]*(1-Tabela5[[#This Row],[Desconto]]),Tabela5[[#This Row],[Valor de Entrega]]),"")</f>
        <v>11.5</v>
      </c>
      <c r="N5" s="29" t="str">
        <f>IFERROR(IF(Tabela5[[#This Row],[Id da Venda]]=C6,"",SUMIF(Tabela5[Id da Venda],Tabela5[[#This Row],[Id da Venda]],Tabela5[Total])),"")</f>
        <v/>
      </c>
    </row>
    <row r="6" spans="3:14" s="25" customFormat="1" x14ac:dyDescent="0.3">
      <c r="C6" s="25">
        <v>13</v>
      </c>
      <c r="D6" s="26">
        <v>42190</v>
      </c>
      <c r="E6" s="25" t="s">
        <v>33</v>
      </c>
      <c r="F6" s="25" t="str">
        <f>IFERROR(VLOOKUP(Tabela5[[#This Row],[Produto]],cálculos!$H$3:$K$26,4,0),"")</f>
        <v>Pacote</v>
      </c>
      <c r="G6" s="25">
        <v>1</v>
      </c>
      <c r="H6" s="11">
        <f>IFERROR(VLOOKUP(Tabela5[[#This Row],[Produto]],cálculos!$H$3:$K$26,3,0),"")</f>
        <v>0.79</v>
      </c>
      <c r="I6" s="11">
        <f>IFERROR(Tabela5[[#This Row],[Preço Unitário]]*Tabela5[[#This Row],[Quantidade]],"")</f>
        <v>0.79</v>
      </c>
      <c r="J6" s="15"/>
      <c r="K6" s="25" t="s">
        <v>76</v>
      </c>
      <c r="L6" s="11">
        <f>IFERROR(IF(Tabela5[[#This Row],[Entrega]]=K7,0,VLOOKUP(Tabela5[[#This Row],[Entrega]],cálculos!$A$3:$B$7,2,0)),0)</f>
        <v>0</v>
      </c>
      <c r="M6" s="12">
        <f>IFERROR(SUM(Tabela5[[#This Row],[Subtotal]]*(1-Tabela5[[#This Row],[Desconto]]),Tabela5[[#This Row],[Valor de Entrega]]),"")</f>
        <v>0.79</v>
      </c>
      <c r="N6" s="29" t="str">
        <f>IFERROR(IF(Tabela5[[#This Row],[Id da Venda]]=C7,"",SUMIF(Tabela5[Id da Venda],Tabela5[[#This Row],[Id da Venda]],Tabela5[Total])),"")</f>
        <v/>
      </c>
    </row>
    <row r="7" spans="3:14" s="25" customFormat="1" x14ac:dyDescent="0.3">
      <c r="C7" s="25">
        <v>13</v>
      </c>
      <c r="D7" s="26">
        <v>42190</v>
      </c>
      <c r="E7" s="25" t="s">
        <v>21</v>
      </c>
      <c r="F7" s="25" t="str">
        <f>IFERROR(VLOOKUP(Tabela5[[#This Row],[Produto]],cálculos!$H$3:$K$26,4,0),"")</f>
        <v>Kg</v>
      </c>
      <c r="G7" s="25">
        <v>10</v>
      </c>
      <c r="H7" s="11">
        <f>IFERROR(VLOOKUP(Tabela5[[#This Row],[Produto]],cálculos!$H$3:$K$26,3,0),"")</f>
        <v>15.9</v>
      </c>
      <c r="I7" s="11">
        <f>IFERROR(Tabela5[[#This Row],[Preço Unitário]]*Tabela5[[#This Row],[Quantidade]],"")</f>
        <v>159</v>
      </c>
      <c r="J7" s="15">
        <v>0.05</v>
      </c>
      <c r="K7" s="25" t="s">
        <v>76</v>
      </c>
      <c r="L7" s="11">
        <f>IFERROR(IF(Tabela5[[#This Row],[Entrega]]=K8,0,VLOOKUP(Tabela5[[#This Row],[Entrega]],cálculos!$A$3:$B$7,2,0)),0)</f>
        <v>0</v>
      </c>
      <c r="M7" s="12">
        <f>IFERROR(SUM(Tabela5[[#This Row],[Subtotal]]*(1-Tabela5[[#This Row],[Desconto]]),Tabela5[[#This Row],[Valor de Entrega]]),"")</f>
        <v>151.04999999999998</v>
      </c>
      <c r="N7" s="29" t="str">
        <f>IFERROR(IF(Tabela5[[#This Row],[Id da Venda]]=C8,"",SUMIF(Tabela5[Id da Venda],Tabela5[[#This Row],[Id da Venda]],Tabela5[Total])),"")</f>
        <v/>
      </c>
    </row>
    <row r="8" spans="3:14" s="25" customFormat="1" x14ac:dyDescent="0.3">
      <c r="C8" s="25">
        <v>13</v>
      </c>
      <c r="D8" s="26">
        <v>42190</v>
      </c>
      <c r="E8" s="25" t="s">
        <v>30</v>
      </c>
      <c r="F8" s="25" t="str">
        <f>IFERROR(VLOOKUP(Tabela5[[#This Row],[Produto]],cálculos!$H$3:$K$26,4,0),"")</f>
        <v>Lata</v>
      </c>
      <c r="G8" s="25">
        <v>24</v>
      </c>
      <c r="H8" s="11">
        <f>IFERROR(VLOOKUP(Tabela5[[#This Row],[Produto]],cálculos!$H$3:$K$26,3,0),"")</f>
        <v>2.19</v>
      </c>
      <c r="I8" s="11">
        <f>IFERROR(Tabela5[[#This Row],[Preço Unitário]]*Tabela5[[#This Row],[Quantidade]],"")</f>
        <v>52.56</v>
      </c>
      <c r="J8" s="15">
        <v>0.05</v>
      </c>
      <c r="K8" s="25" t="s">
        <v>76</v>
      </c>
      <c r="L8" s="11">
        <f>IFERROR(IF(Tabela5[[#This Row],[Entrega]]=K9,0,VLOOKUP(Tabela5[[#This Row],[Entrega]],cálculos!$A$3:$B$7,2,0)),0)</f>
        <v>6.5</v>
      </c>
      <c r="M8" s="12">
        <f>IFERROR(SUM(Tabela5[[#This Row],[Subtotal]]*(1-Tabela5[[#This Row],[Desconto]]),Tabela5[[#This Row],[Valor de Entrega]]),"")</f>
        <v>56.432000000000002</v>
      </c>
      <c r="N8" s="29">
        <f>IFERROR(IF(Tabela5[[#This Row],[Id da Venda]]=C9,"",SUMIF(Tabela5[Id da Venda],Tabela5[[#This Row],[Id da Venda]],Tabela5[Total])),"")</f>
        <v>219.77199999999999</v>
      </c>
    </row>
    <row r="9" spans="3:14" s="25" customFormat="1" x14ac:dyDescent="0.3">
      <c r="C9" s="25">
        <v>12</v>
      </c>
      <c r="D9" s="26">
        <v>42189</v>
      </c>
      <c r="E9" s="25" t="s">
        <v>30</v>
      </c>
      <c r="F9" s="25" t="str">
        <f>IFERROR(VLOOKUP(Tabela5[[#This Row],[Produto]],cálculos!$H$3:$K$26,4,0),"")</f>
        <v>Lata</v>
      </c>
      <c r="G9" s="25">
        <v>1</v>
      </c>
      <c r="H9" s="11">
        <f>IFERROR(VLOOKUP(Tabela5[[#This Row],[Produto]],cálculos!$H$3:$K$26,3,0),"")</f>
        <v>2.19</v>
      </c>
      <c r="I9" s="11">
        <f>IFERROR(Tabela5[[#This Row],[Preço Unitário]]*Tabela5[[#This Row],[Quantidade]],"")</f>
        <v>2.19</v>
      </c>
      <c r="J9" s="15"/>
      <c r="K9" s="25" t="s">
        <v>71</v>
      </c>
      <c r="L9" s="11">
        <f>IFERROR(IF(Tabela5[[#This Row],[Entrega]]=K10,0,VLOOKUP(Tabela5[[#This Row],[Entrega]],cálculos!$A$3:$B$7,2,0)),0)</f>
        <v>0</v>
      </c>
      <c r="M9" s="12">
        <f>IFERROR(SUM(Tabela5[[#This Row],[Subtotal]]*(1-Tabela5[[#This Row],[Desconto]]),Tabela5[[#This Row],[Valor de Entrega]]),"")</f>
        <v>2.19</v>
      </c>
      <c r="N9" s="29">
        <f>IFERROR(IF(Tabela5[[#This Row],[Id da Venda]]=C10,"",SUMIF(Tabela5[Id da Venda],Tabela5[[#This Row],[Id da Venda]],Tabela5[Total])),"")</f>
        <v>2.19</v>
      </c>
    </row>
    <row r="10" spans="3:14" s="25" customFormat="1" x14ac:dyDescent="0.3">
      <c r="C10" s="25">
        <v>11</v>
      </c>
      <c r="D10" s="26">
        <v>42189</v>
      </c>
      <c r="E10" s="25" t="s">
        <v>30</v>
      </c>
      <c r="F10" s="25" t="str">
        <f>IFERROR(VLOOKUP(Tabela5[[#This Row],[Produto]],cálculos!$H$3:$K$26,4,0),"")</f>
        <v>Lata</v>
      </c>
      <c r="G10" s="25">
        <v>10</v>
      </c>
      <c r="H10" s="11">
        <f>IFERROR(VLOOKUP(Tabela5[[#This Row],[Produto]],cálculos!$H$3:$K$26,3,0),"")</f>
        <v>2.19</v>
      </c>
      <c r="I10" s="11">
        <f>IFERROR(Tabela5[[#This Row],[Preço Unitário]]*Tabela5[[#This Row],[Quantidade]],"")</f>
        <v>21.9</v>
      </c>
      <c r="J10" s="15"/>
      <c r="K10" s="25" t="s">
        <v>71</v>
      </c>
      <c r="L10" s="11">
        <f>IFERROR(IF(Tabela5[[#This Row],[Entrega]]=K11,0,VLOOKUP(Tabela5[[#This Row],[Entrega]],cálculos!$A$3:$B$7,2,0)),0)</f>
        <v>0</v>
      </c>
      <c r="M10" s="12">
        <f>IFERROR(SUM(Tabela5[[#This Row],[Subtotal]]*(1-Tabela5[[#This Row],[Desconto]]),Tabela5[[#This Row],[Valor de Entrega]]),"")</f>
        <v>21.9</v>
      </c>
      <c r="N10" s="29">
        <f>IFERROR(IF(Tabela5[[#This Row],[Id da Venda]]=C11,"",SUMIF(Tabela5[Id da Venda],Tabela5[[#This Row],[Id da Venda]],Tabela5[Total])),"")</f>
        <v>21.9</v>
      </c>
    </row>
    <row r="11" spans="3:14" s="25" customFormat="1" x14ac:dyDescent="0.3">
      <c r="C11" s="25">
        <v>10</v>
      </c>
      <c r="D11" s="26">
        <v>42189</v>
      </c>
      <c r="E11" s="25" t="s">
        <v>18</v>
      </c>
      <c r="F11" s="25" t="str">
        <f>IFERROR(VLOOKUP(Tabela5[[#This Row],[Produto]],cálculos!$H$3:$K$26,4,0),"")</f>
        <v>Kg</v>
      </c>
      <c r="G11" s="25">
        <v>6</v>
      </c>
      <c r="H11" s="11">
        <f>IFERROR(VLOOKUP(Tabela5[[#This Row],[Produto]],cálculos!$H$3:$K$26,3,0),"")</f>
        <v>4.28</v>
      </c>
      <c r="I11" s="11">
        <f>IFERROR(Tabela5[[#This Row],[Preço Unitário]]*Tabela5[[#This Row],[Quantidade]],"")</f>
        <v>25.68</v>
      </c>
      <c r="J11" s="15"/>
      <c r="K11" s="25" t="s">
        <v>71</v>
      </c>
      <c r="L11" s="11">
        <f>IFERROR(IF(Tabela5[[#This Row],[Entrega]]=K12,0,VLOOKUP(Tabela5[[#This Row],[Entrega]],cálculos!$A$3:$B$7,2,0)),0)</f>
        <v>0</v>
      </c>
      <c r="M11" s="12">
        <f>IFERROR(SUM(Tabela5[[#This Row],[Subtotal]]*(1-Tabela5[[#This Row],[Desconto]]),Tabela5[[#This Row],[Valor de Entrega]]),"")</f>
        <v>25.68</v>
      </c>
      <c r="N11" s="29" t="str">
        <f>IFERROR(IF(Tabela5[[#This Row],[Id da Venda]]=C12,"",SUMIF(Tabela5[Id da Venda],Tabela5[[#This Row],[Id da Venda]],Tabela5[Total])),"")</f>
        <v/>
      </c>
    </row>
    <row r="12" spans="3:14" s="25" customFormat="1" x14ac:dyDescent="0.3">
      <c r="C12" s="25">
        <v>10</v>
      </c>
      <c r="D12" s="26">
        <v>42189</v>
      </c>
      <c r="E12" s="25" t="s">
        <v>83</v>
      </c>
      <c r="F12" s="25" t="str">
        <f>IFERROR(VLOOKUP(Tabela5[[#This Row],[Produto]],cálculos!$H$3:$K$26,4,0),"")</f>
        <v>Litro</v>
      </c>
      <c r="G12" s="25">
        <v>4</v>
      </c>
      <c r="H12" s="11">
        <f>IFERROR(VLOOKUP(Tabela5[[#This Row],[Produto]],cálculos!$H$3:$K$26,3,0),"")</f>
        <v>2.39</v>
      </c>
      <c r="I12" s="11">
        <f>IFERROR(Tabela5[[#This Row],[Preço Unitário]]*Tabela5[[#This Row],[Quantidade]],"")</f>
        <v>9.56</v>
      </c>
      <c r="J12" s="15"/>
      <c r="K12" s="25" t="s">
        <v>71</v>
      </c>
      <c r="L12" s="11">
        <f>IFERROR(IF(Tabela5[[#This Row],[Entrega]]=K13,0,VLOOKUP(Tabela5[[#This Row],[Entrega]],cálculos!$A$3:$B$7,2,0)),0)</f>
        <v>0</v>
      </c>
      <c r="M12" s="12">
        <f>IFERROR(SUM(Tabela5[[#This Row],[Subtotal]]*(1-Tabela5[[#This Row],[Desconto]]),Tabela5[[#This Row],[Valor de Entrega]]),"")</f>
        <v>9.56</v>
      </c>
      <c r="N12" s="29">
        <f>IFERROR(IF(Tabela5[[#This Row],[Id da Venda]]=C13,"",SUMIF(Tabela5[Id da Venda],Tabela5[[#This Row],[Id da Venda]],Tabela5[Total])),"")</f>
        <v>35.24</v>
      </c>
    </row>
    <row r="13" spans="3:14" s="25" customFormat="1" x14ac:dyDescent="0.3">
      <c r="C13" s="25">
        <v>9</v>
      </c>
      <c r="D13" s="26">
        <v>42188</v>
      </c>
      <c r="E13" s="25" t="s">
        <v>82</v>
      </c>
      <c r="F13" s="25" t="str">
        <f>IFERROR(VLOOKUP(Tabela5[[#This Row],[Produto]],cálculos!$H$3:$K$26,4,0),"")</f>
        <v>Unidade</v>
      </c>
      <c r="G13" s="25">
        <v>5</v>
      </c>
      <c r="H13" s="11">
        <f>IFERROR(VLOOKUP(Tabela5[[#This Row],[Produto]],cálculos!$H$3:$K$26,3,0),"")</f>
        <v>2.89</v>
      </c>
      <c r="I13" s="11">
        <f>IFERROR(Tabela5[[#This Row],[Preço Unitário]]*Tabela5[[#This Row],[Quantidade]],"")</f>
        <v>14.450000000000001</v>
      </c>
      <c r="J13" s="15"/>
      <c r="K13" s="25" t="s">
        <v>71</v>
      </c>
      <c r="L13" s="11">
        <f>IFERROR(IF(Tabela5[[#This Row],[Entrega]]=K14,0,VLOOKUP(Tabela5[[#This Row],[Entrega]],cálculos!$A$3:$B$7,2,0)),0)</f>
        <v>0</v>
      </c>
      <c r="M13" s="12">
        <f>IFERROR(SUM(Tabela5[[#This Row],[Subtotal]]*(1-Tabela5[[#This Row],[Desconto]]),Tabela5[[#This Row],[Valor de Entrega]]),"")</f>
        <v>14.450000000000001</v>
      </c>
      <c r="N13" s="29" t="str">
        <f>IFERROR(IF(Tabela5[[#This Row],[Id da Venda]]=C14,"",SUMIF(Tabela5[Id da Venda],Tabela5[[#This Row],[Id da Venda]],Tabela5[Total])),"")</f>
        <v/>
      </c>
    </row>
    <row r="14" spans="3:14" s="25" customFormat="1" x14ac:dyDescent="0.3">
      <c r="C14" s="25">
        <v>9</v>
      </c>
      <c r="D14" s="26">
        <v>42188</v>
      </c>
      <c r="E14" s="25" t="s">
        <v>28</v>
      </c>
      <c r="F14" s="25" t="str">
        <f>IFERROR(VLOOKUP(Tabela5[[#This Row],[Produto]],cálculos!$H$3:$K$26,4,0),"")</f>
        <v>Kg</v>
      </c>
      <c r="G14" s="25">
        <v>2</v>
      </c>
      <c r="H14" s="11">
        <f>IFERROR(VLOOKUP(Tabela5[[#This Row],[Produto]],cálculos!$H$3:$K$26,3,0),"")</f>
        <v>9.58</v>
      </c>
      <c r="I14" s="11">
        <f>IFERROR(Tabela5[[#This Row],[Preço Unitário]]*Tabela5[[#This Row],[Quantidade]],"")</f>
        <v>19.16</v>
      </c>
      <c r="J14" s="15"/>
      <c r="K14" s="25" t="s">
        <v>71</v>
      </c>
      <c r="L14" s="11">
        <f>IFERROR(IF(Tabela5[[#This Row],[Entrega]]=K15,0,VLOOKUP(Tabela5[[#This Row],[Entrega]],cálculos!$A$3:$B$7,2,0)),0)</f>
        <v>0</v>
      </c>
      <c r="M14" s="12">
        <f>IFERROR(SUM(Tabela5[[#This Row],[Subtotal]]*(1-Tabela5[[#This Row],[Desconto]]),Tabela5[[#This Row],[Valor de Entrega]]),"")</f>
        <v>19.16</v>
      </c>
      <c r="N14" s="29" t="str">
        <f>IFERROR(IF(Tabela5[[#This Row],[Id da Venda]]=C15,"",SUMIF(Tabela5[Id da Venda],Tabela5[[#This Row],[Id da Venda]],Tabela5[Total])),"")</f>
        <v/>
      </c>
    </row>
    <row r="15" spans="3:14" s="25" customFormat="1" x14ac:dyDescent="0.3">
      <c r="C15" s="25">
        <v>9</v>
      </c>
      <c r="D15" s="26">
        <v>42188</v>
      </c>
      <c r="E15" s="25" t="s">
        <v>24</v>
      </c>
      <c r="F15" s="25" t="str">
        <f>IFERROR(VLOOKUP(Tabela5[[#This Row],[Produto]],cálculos!$H$3:$K$26,4,0),"")</f>
        <v>Kg</v>
      </c>
      <c r="G15" s="25">
        <v>1.5</v>
      </c>
      <c r="H15" s="11">
        <f>IFERROR(VLOOKUP(Tabela5[[#This Row],[Produto]],cálculos!$H$3:$K$26,3,0),"")</f>
        <v>25.9</v>
      </c>
      <c r="I15" s="11">
        <f>IFERROR(Tabela5[[#This Row],[Preço Unitário]]*Tabela5[[#This Row],[Quantidade]],"")</f>
        <v>38.849999999999994</v>
      </c>
      <c r="J15" s="15"/>
      <c r="K15" s="25" t="s">
        <v>71</v>
      </c>
      <c r="L15" s="11">
        <f>IFERROR(IF(Tabela5[[#This Row],[Entrega]]=K16,0,VLOOKUP(Tabela5[[#This Row],[Entrega]],cálculos!$A$3:$B$7,2,0)),0)</f>
        <v>0</v>
      </c>
      <c r="M15" s="12">
        <f>IFERROR(SUM(Tabela5[[#This Row],[Subtotal]]*(1-Tabela5[[#This Row],[Desconto]]),Tabela5[[#This Row],[Valor de Entrega]]),"")</f>
        <v>38.849999999999994</v>
      </c>
      <c r="N15" s="29" t="str">
        <f>IFERROR(IF(Tabela5[[#This Row],[Id da Venda]]=C16,"",SUMIF(Tabela5[Id da Venda],Tabela5[[#This Row],[Id da Venda]],Tabela5[Total])),"")</f>
        <v/>
      </c>
    </row>
    <row r="16" spans="3:14" s="25" customFormat="1" x14ac:dyDescent="0.3">
      <c r="C16" s="25">
        <v>9</v>
      </c>
      <c r="D16" s="26">
        <v>42188</v>
      </c>
      <c r="E16" s="25" t="s">
        <v>18</v>
      </c>
      <c r="F16" s="25" t="str">
        <f>IFERROR(VLOOKUP(Tabela5[[#This Row],[Produto]],cálculos!$H$3:$K$26,4,0),"")</f>
        <v>Kg</v>
      </c>
      <c r="G16" s="25">
        <v>4</v>
      </c>
      <c r="H16" s="11">
        <f>IFERROR(VLOOKUP(Tabela5[[#This Row],[Produto]],cálculos!$H$3:$K$26,3,0),"")</f>
        <v>4.28</v>
      </c>
      <c r="I16" s="11">
        <f>IFERROR(Tabela5[[#This Row],[Preço Unitário]]*Tabela5[[#This Row],[Quantidade]],"")</f>
        <v>17.12</v>
      </c>
      <c r="J16" s="15"/>
      <c r="K16" s="25" t="s">
        <v>71</v>
      </c>
      <c r="L16" s="11">
        <f>IFERROR(IF(Tabela5[[#This Row],[Entrega]]=K17,0,VLOOKUP(Tabela5[[#This Row],[Entrega]],cálculos!$A$3:$B$7,2,0)),0)</f>
        <v>0</v>
      </c>
      <c r="M16" s="12">
        <f>IFERROR(SUM(Tabela5[[#This Row],[Subtotal]]*(1-Tabela5[[#This Row],[Desconto]]),Tabela5[[#This Row],[Valor de Entrega]]),"")</f>
        <v>17.12</v>
      </c>
      <c r="N16" s="29">
        <f>IFERROR(IF(Tabela5[[#This Row],[Id da Venda]]=C17,"",SUMIF(Tabela5[Id da Venda],Tabela5[[#This Row],[Id da Venda]],Tabela5[Total])),"")</f>
        <v>89.58</v>
      </c>
    </row>
    <row r="17" spans="3:14" s="25" customFormat="1" x14ac:dyDescent="0.3">
      <c r="C17" s="25">
        <v>8</v>
      </c>
      <c r="D17" s="26">
        <v>42188</v>
      </c>
      <c r="E17" s="25" t="s">
        <v>30</v>
      </c>
      <c r="F17" s="25" t="str">
        <f>IFERROR(VLOOKUP(Tabela5[[#This Row],[Produto]],cálculos!$H$3:$K$26,4,0),"")</f>
        <v>Lata</v>
      </c>
      <c r="G17" s="25">
        <v>20</v>
      </c>
      <c r="H17" s="11">
        <f>IFERROR(VLOOKUP(Tabela5[[#This Row],[Produto]],cálculos!$H$3:$K$26,3,0),"")</f>
        <v>2.19</v>
      </c>
      <c r="I17" s="11">
        <f>IFERROR(Tabela5[[#This Row],[Preço Unitário]]*Tabela5[[#This Row],[Quantidade]],"")</f>
        <v>43.8</v>
      </c>
      <c r="J17" s="15">
        <v>0.05</v>
      </c>
      <c r="K17" s="25" t="s">
        <v>69</v>
      </c>
      <c r="L17" s="11">
        <f>IFERROR(IF(Tabela5[[#This Row],[Entrega]]=K18,0,VLOOKUP(Tabela5[[#This Row],[Entrega]],cálculos!$A$3:$B$7,2,0)),0)</f>
        <v>5</v>
      </c>
      <c r="M17" s="12">
        <f>IFERROR(SUM(Tabela5[[#This Row],[Subtotal]]*(1-Tabela5[[#This Row],[Desconto]]),Tabela5[[#This Row],[Valor de Entrega]]),"")</f>
        <v>46.609999999999992</v>
      </c>
      <c r="N17" s="29">
        <f>IFERROR(IF(Tabela5[[#This Row],[Id da Venda]]=C18,"",SUMIF(Tabela5[Id da Venda],Tabela5[[#This Row],[Id da Venda]],Tabela5[Total])),"")</f>
        <v>46.609999999999992</v>
      </c>
    </row>
    <row r="18" spans="3:14" s="25" customFormat="1" x14ac:dyDescent="0.3">
      <c r="C18">
        <v>7</v>
      </c>
      <c r="D18" s="26">
        <v>42188</v>
      </c>
      <c r="E18" t="s">
        <v>30</v>
      </c>
      <c r="F18" s="27" t="str">
        <f>IFERROR(VLOOKUP(Tabela5[[#This Row],[Produto]],cálculos!$H$3:$K$26,4,0),"")</f>
        <v>Lata</v>
      </c>
      <c r="G18">
        <v>20</v>
      </c>
      <c r="H18" s="11">
        <f>IFERROR(VLOOKUP(Tabela5[[#This Row],[Produto]],cálculos!$H$3:$K$26,3,0),"")</f>
        <v>2.19</v>
      </c>
      <c r="I18" s="11">
        <f>IFERROR(Tabela5[[#This Row],[Preço Unitário]]*Tabela5[[#This Row],[Quantidade]],"")</f>
        <v>43.8</v>
      </c>
      <c r="J18" s="15">
        <v>0.05</v>
      </c>
      <c r="K18" s="25" t="s">
        <v>71</v>
      </c>
      <c r="L18" s="11">
        <f>IFERROR(IF(Tabela5[[#This Row],[Entrega]]=K19,0,VLOOKUP(Tabela5[[#This Row],[Entrega]],cálculos!$A$3:$B$7,2,0)),0)</f>
        <v>0</v>
      </c>
      <c r="M18" s="12">
        <f>IFERROR(SUM(Tabela5[[#This Row],[Subtotal]]*(1-Tabela5[[#This Row],[Desconto]]),Tabela5[[#This Row],[Valor de Entrega]]),"")</f>
        <v>41.609999999999992</v>
      </c>
      <c r="N18" s="29">
        <f>IFERROR(IF(Tabela5[[#This Row],[Id da Venda]]=C19,"",SUMIF(Tabela5[Id da Venda],Tabela5[[#This Row],[Id da Venda]],Tabela5[Total])),"")</f>
        <v>41.609999999999992</v>
      </c>
    </row>
    <row r="19" spans="3:14" s="25" customFormat="1" x14ac:dyDescent="0.3">
      <c r="C19">
        <v>6</v>
      </c>
      <c r="D19" s="26">
        <v>42188</v>
      </c>
      <c r="E19" t="s">
        <v>33</v>
      </c>
      <c r="F19" s="27" t="str">
        <f>IFERROR(VLOOKUP(Tabela5[[#This Row],[Produto]],cálculos!$H$3:$K$26,4,0),"")</f>
        <v>Pacote</v>
      </c>
      <c r="G19">
        <v>2</v>
      </c>
      <c r="H19" s="11">
        <f>IFERROR(VLOOKUP(Tabela5[[#This Row],[Produto]],cálculos!$H$3:$K$26,3,0),"")</f>
        <v>0.79</v>
      </c>
      <c r="I19" s="11">
        <f>IFERROR(Tabela5[[#This Row],[Preço Unitário]]*Tabela5[[#This Row],[Quantidade]],"")</f>
        <v>1.58</v>
      </c>
      <c r="J19" s="15"/>
      <c r="K19" s="25" t="s">
        <v>71</v>
      </c>
      <c r="L19" s="11">
        <f>IFERROR(IF(Tabela5[[#This Row],[Entrega]]=K20,0,VLOOKUP(Tabela5[[#This Row],[Entrega]],cálculos!$A$3:$B$7,2,0)),0)</f>
        <v>0</v>
      </c>
      <c r="M19" s="12">
        <f>IFERROR(SUM(Tabela5[[#This Row],[Subtotal]]*(1-Tabela5[[#This Row],[Desconto]]),Tabela5[[#This Row],[Valor de Entrega]]),"")</f>
        <v>1.58</v>
      </c>
      <c r="N19" s="29" t="str">
        <f>IFERROR(IF(Tabela5[[#This Row],[Id da Venda]]=C20,"",SUMIF(Tabela5[Id da Venda],Tabela5[[#This Row],[Id da Venda]],Tabela5[Total])),"")</f>
        <v/>
      </c>
    </row>
    <row r="20" spans="3:14" x14ac:dyDescent="0.3">
      <c r="C20">
        <v>6</v>
      </c>
      <c r="D20" s="26">
        <v>42188</v>
      </c>
      <c r="E20" t="s">
        <v>21</v>
      </c>
      <c r="F20" s="27" t="str">
        <f>IFERROR(VLOOKUP(Tabela5[[#This Row],[Produto]],cálculos!$H$3:$K$26,4,0),"")</f>
        <v>Kg</v>
      </c>
      <c r="G20">
        <v>6</v>
      </c>
      <c r="H20" s="11">
        <f>IFERROR(VLOOKUP(Tabela5[[#This Row],[Produto]],cálculos!$H$3:$K$26,3,0),"")</f>
        <v>15.9</v>
      </c>
      <c r="I20" s="11">
        <f>IFERROR(Tabela5[[#This Row],[Preço Unitário]]*Tabela5[[#This Row],[Quantidade]],"")</f>
        <v>95.4</v>
      </c>
      <c r="J20" s="15"/>
      <c r="K20" s="25" t="s">
        <v>71</v>
      </c>
      <c r="L20" s="11">
        <f>IFERROR(IF(Tabela5[[#This Row],[Entrega]]=K21,0,VLOOKUP(Tabela5[[#This Row],[Entrega]],cálculos!$A$3:$B$7,2,0)),0)</f>
        <v>0</v>
      </c>
      <c r="M20" s="12">
        <f>IFERROR(SUM(Tabela5[[#This Row],[Subtotal]]*(1-Tabela5[[#This Row],[Desconto]]),Tabela5[[#This Row],[Valor de Entrega]]),"")</f>
        <v>95.4</v>
      </c>
      <c r="N20" s="29" t="str">
        <f>IFERROR(IF(Tabela5[[#This Row],[Id da Venda]]=C21,"",SUMIF(Tabela5[Id da Venda],Tabela5[[#This Row],[Id da Venda]],Tabela5[Total])),"")</f>
        <v/>
      </c>
    </row>
    <row r="21" spans="3:14" x14ac:dyDescent="0.3">
      <c r="C21">
        <v>6</v>
      </c>
      <c r="D21" s="26">
        <v>42188</v>
      </c>
      <c r="E21" t="s">
        <v>30</v>
      </c>
      <c r="F21" s="27" t="str">
        <f>IFERROR(VLOOKUP(Tabela5[[#This Row],[Produto]],cálculos!$H$3:$K$26,4,0),"")</f>
        <v>Lata</v>
      </c>
      <c r="G21">
        <v>12</v>
      </c>
      <c r="H21" s="11">
        <f>IFERROR(VLOOKUP(Tabela5[[#This Row],[Produto]],cálculos!$H$3:$K$26,3,0),"")</f>
        <v>2.19</v>
      </c>
      <c r="I21" s="11">
        <f>IFERROR(Tabela5[[#This Row],[Preço Unitário]]*Tabela5[[#This Row],[Quantidade]],"")</f>
        <v>26.28</v>
      </c>
      <c r="J21" s="15"/>
      <c r="K21" s="25" t="s">
        <v>71</v>
      </c>
      <c r="L21" s="11">
        <f>IFERROR(IF(Tabela5[[#This Row],[Entrega]]=K22,0,VLOOKUP(Tabela5[[#This Row],[Entrega]],cálculos!$A$3:$B$7,2,0)),0)</f>
        <v>0</v>
      </c>
      <c r="M21" s="12">
        <f>IFERROR(SUM(Tabela5[[#This Row],[Subtotal]]*(1-Tabela5[[#This Row],[Desconto]]),Tabela5[[#This Row],[Valor de Entrega]]),"")</f>
        <v>26.28</v>
      </c>
      <c r="N21" s="29">
        <f>IFERROR(IF(Tabela5[[#This Row],[Id da Venda]]=C22,"",SUMIF(Tabela5[Id da Venda],Tabela5[[#This Row],[Id da Venda]],Tabela5[Total])),"")</f>
        <v>123.26</v>
      </c>
    </row>
    <row r="22" spans="3:14" x14ac:dyDescent="0.3">
      <c r="C22">
        <v>5</v>
      </c>
      <c r="D22" s="26">
        <v>42187</v>
      </c>
      <c r="E22" t="s">
        <v>20</v>
      </c>
      <c r="F22" s="27" t="str">
        <f>IFERROR(VLOOKUP(Tabela5[[#This Row],[Produto]],cálculos!$H$3:$K$26,4,0),"")</f>
        <v>Unidade</v>
      </c>
      <c r="G22">
        <v>3</v>
      </c>
      <c r="H22" s="11">
        <f>IFERROR(VLOOKUP(Tabela5[[#This Row],[Produto]],cálculos!$H$3:$K$26,3,0),"")</f>
        <v>2.99</v>
      </c>
      <c r="I22" s="11">
        <f>IFERROR(Tabela5[[#This Row],[Preço Unitário]]*Tabela5[[#This Row],[Quantidade]],"")</f>
        <v>8.9700000000000006</v>
      </c>
      <c r="J22" s="15"/>
      <c r="K22" s="25" t="s">
        <v>73</v>
      </c>
      <c r="L22" s="11">
        <f>IFERROR(IF(Tabela5[[#This Row],[Entrega]]=K23,0,VLOOKUP(Tabela5[[#This Row],[Entrega]],cálculos!$A$3:$B$7,2,0)),0)</f>
        <v>0</v>
      </c>
      <c r="M22" s="12">
        <f>IFERROR(SUM(Tabela5[[#This Row],[Subtotal]]*(1-Tabela5[[#This Row],[Desconto]]),Tabela5[[#This Row],[Valor de Entrega]]),"")</f>
        <v>8.9700000000000006</v>
      </c>
      <c r="N22" s="29">
        <f>IFERROR(IF(Tabela5[[#This Row],[Id da Venda]]=C23,"",SUMIF(Tabela5[Id da Venda],Tabela5[[#This Row],[Id da Venda]],Tabela5[Total])),"")</f>
        <v>8.9700000000000006</v>
      </c>
    </row>
    <row r="23" spans="3:14" x14ac:dyDescent="0.3">
      <c r="C23">
        <v>4</v>
      </c>
      <c r="D23" s="26">
        <v>42187</v>
      </c>
      <c r="E23" t="s">
        <v>34</v>
      </c>
      <c r="F23" s="27" t="str">
        <f>IFERROR(VLOOKUP(Tabela5[[#This Row],[Produto]],cálculos!$H$3:$K$26,4,0),"")</f>
        <v>Pacote</v>
      </c>
      <c r="G23">
        <v>2</v>
      </c>
      <c r="H23" s="11">
        <f>IFERROR(VLOOKUP(Tabela5[[#This Row],[Produto]],cálculos!$H$3:$K$26,3,0),"")</f>
        <v>1.99</v>
      </c>
      <c r="I23" s="11">
        <f>IFERROR(Tabela5[[#This Row],[Preço Unitário]]*Tabela5[[#This Row],[Quantidade]],"")</f>
        <v>3.98</v>
      </c>
      <c r="J23" s="15"/>
      <c r="K23" s="25" t="s">
        <v>73</v>
      </c>
      <c r="L23" s="11">
        <f>IFERROR(IF(Tabela5[[#This Row],[Entrega]]=K24,0,VLOOKUP(Tabela5[[#This Row],[Entrega]],cálculos!$A$3:$B$7,2,0)),0)</f>
        <v>0</v>
      </c>
      <c r="M23" s="12">
        <f>IFERROR(SUM(Tabela5[[#This Row],[Subtotal]]*(1-Tabela5[[#This Row],[Desconto]]),Tabela5[[#This Row],[Valor de Entrega]]),"")</f>
        <v>3.98</v>
      </c>
      <c r="N23" s="29" t="str">
        <f>IFERROR(IF(Tabela5[[#This Row],[Id da Venda]]=C24,"",SUMIF(Tabela5[Id da Venda],Tabela5[[#This Row],[Id da Venda]],Tabela5[Total])),"")</f>
        <v/>
      </c>
    </row>
    <row r="24" spans="3:14" x14ac:dyDescent="0.3">
      <c r="C24">
        <v>4</v>
      </c>
      <c r="D24" s="26">
        <v>42187</v>
      </c>
      <c r="E24" t="s">
        <v>17</v>
      </c>
      <c r="F24" s="27" t="str">
        <f>IFERROR(VLOOKUP(Tabela5[[#This Row],[Produto]],cálculos!$H$3:$K$26,4,0),"")</f>
        <v>Kg</v>
      </c>
      <c r="G24">
        <v>5</v>
      </c>
      <c r="H24" s="11">
        <f>IFERROR(VLOOKUP(Tabela5[[#This Row],[Produto]],cálculos!$H$3:$K$26,3,0),"")</f>
        <v>2.4900000000000002</v>
      </c>
      <c r="I24" s="11">
        <f>IFERROR(Tabela5[[#This Row],[Preço Unitário]]*Tabela5[[#This Row],[Quantidade]],"")</f>
        <v>12.450000000000001</v>
      </c>
      <c r="J24" s="15"/>
      <c r="K24" s="25" t="s">
        <v>73</v>
      </c>
      <c r="L24" s="11">
        <f>IFERROR(IF(Tabela5[[#This Row],[Entrega]]=K25,0,VLOOKUP(Tabela5[[#This Row],[Entrega]],cálculos!$A$3:$B$7,2,0)),0)</f>
        <v>6.5</v>
      </c>
      <c r="M24" s="12">
        <f>IFERROR(SUM(Tabela5[[#This Row],[Subtotal]]*(1-Tabela5[[#This Row],[Desconto]]),Tabela5[[#This Row],[Valor de Entrega]]),"")</f>
        <v>18.950000000000003</v>
      </c>
      <c r="N24" s="29">
        <f>IFERROR(IF(Tabela5[[#This Row],[Id da Venda]]=C25,"",SUMIF(Tabela5[Id da Venda],Tabela5[[#This Row],[Id da Venda]],Tabela5[Total])),"")</f>
        <v>22.930000000000003</v>
      </c>
    </row>
    <row r="25" spans="3:14" x14ac:dyDescent="0.3">
      <c r="C25">
        <v>3</v>
      </c>
      <c r="D25" s="26">
        <v>42187</v>
      </c>
      <c r="E25" t="s">
        <v>77</v>
      </c>
      <c r="F25" s="27" t="str">
        <f>IFERROR(VLOOKUP(Tabela5[[#This Row],[Produto]],cálculos!$H$3:$K$26,4,0),"")</f>
        <v>Litro</v>
      </c>
      <c r="G25">
        <v>6</v>
      </c>
      <c r="H25" s="11">
        <f>IFERROR(VLOOKUP(Tabela5[[#This Row],[Produto]],cálculos!$H$3:$K$26,3,0),"")</f>
        <v>1.49</v>
      </c>
      <c r="I25" s="11">
        <f>IFERROR(Tabela5[[#This Row],[Preço Unitário]]*Tabela5[[#This Row],[Quantidade]],"")</f>
        <v>8.94</v>
      </c>
      <c r="J25" s="15"/>
      <c r="K25" s="25" t="s">
        <v>75</v>
      </c>
      <c r="L25" s="11">
        <f>IFERROR(IF(Tabela5[[#This Row],[Entrega]]=K26,0,VLOOKUP(Tabela5[[#This Row],[Entrega]],cálculos!$A$3:$B$7,2,0)),0)</f>
        <v>8</v>
      </c>
      <c r="M25" s="12">
        <f>IFERROR(SUM(Tabela5[[#This Row],[Subtotal]]*(1-Tabela5[[#This Row],[Desconto]]),Tabela5[[#This Row],[Valor de Entrega]]),"")</f>
        <v>16.939999999999998</v>
      </c>
      <c r="N25" s="29">
        <f>IFERROR(IF(Tabela5[[#This Row],[Id da Venda]]=C26,"",SUMIF(Tabela5[Id da Venda],Tabela5[[#This Row],[Id da Venda]],Tabela5[Total])),"")</f>
        <v>16.939999999999998</v>
      </c>
    </row>
    <row r="26" spans="3:14" x14ac:dyDescent="0.3">
      <c r="C26">
        <v>2</v>
      </c>
      <c r="D26" s="26">
        <v>42187</v>
      </c>
      <c r="E26" t="s">
        <v>34</v>
      </c>
      <c r="F26" s="27" t="str">
        <f>IFERROR(VLOOKUP(Tabela5[[#This Row],[Produto]],cálculos!$H$3:$K$26,4,0),"")</f>
        <v>Pacote</v>
      </c>
      <c r="G26">
        <v>1</v>
      </c>
      <c r="H26" s="11">
        <f>IFERROR(VLOOKUP(Tabela5[[#This Row],[Produto]],cálculos!$H$3:$K$26,3,0),"")</f>
        <v>1.99</v>
      </c>
      <c r="I26" s="11">
        <f>IFERROR(Tabela5[[#This Row],[Preço Unitário]]*Tabela5[[#This Row],[Quantidade]],"")</f>
        <v>1.99</v>
      </c>
      <c r="J26" s="15"/>
      <c r="K26" s="25" t="s">
        <v>73</v>
      </c>
      <c r="L26" s="11">
        <f>IFERROR(IF(Tabela5[[#This Row],[Entrega]]=K27,0,VLOOKUP(Tabela5[[#This Row],[Entrega]],cálculos!$A$3:$B$7,2,0)),0)</f>
        <v>6.5</v>
      </c>
      <c r="M26" s="12">
        <f>IFERROR(SUM(Tabela5[[#This Row],[Subtotal]]*(1-Tabela5[[#This Row],[Desconto]]),Tabela5[[#This Row],[Valor de Entrega]]),"")</f>
        <v>8.49</v>
      </c>
      <c r="N26" s="29">
        <f>IFERROR(IF(Tabela5[[#This Row],[Id da Venda]]=C27,"",SUMIF(Tabela5[Id da Venda],Tabela5[[#This Row],[Id da Venda]],Tabela5[Total])),"")</f>
        <v>8.49</v>
      </c>
    </row>
    <row r="27" spans="3:14" x14ac:dyDescent="0.3">
      <c r="C27">
        <v>1</v>
      </c>
      <c r="D27" s="26">
        <v>42187</v>
      </c>
      <c r="E27" t="s">
        <v>17</v>
      </c>
      <c r="F27" s="27" t="str">
        <f>IFERROR(VLOOKUP(Tabela5[[#This Row],[Produto]],cálculos!$H$3:$K$26,4,0),"")</f>
        <v>Kg</v>
      </c>
      <c r="G27">
        <v>2</v>
      </c>
      <c r="H27" s="11">
        <f>IFERROR(VLOOKUP(Tabela5[[#This Row],[Produto]],cálculos!$H$3:$K$26,3,0),"")</f>
        <v>2.4900000000000002</v>
      </c>
      <c r="I27" s="11">
        <f>IFERROR(Tabela5[[#This Row],[Preço Unitário]]*Tabela5[[#This Row],[Quantidade]],"")</f>
        <v>4.9800000000000004</v>
      </c>
      <c r="J27" s="15"/>
      <c r="K27" s="25" t="s">
        <v>71</v>
      </c>
      <c r="L27" s="11">
        <f>IFERROR(IF(Tabela5[[#This Row],[Entrega]]=K28,0,VLOOKUP(Tabela5[[#This Row],[Entrega]],cálculos!$A$3:$B$7,2,0)),0)</f>
        <v>0</v>
      </c>
      <c r="M27" s="12">
        <f>IFERROR(SUM(Tabela5[[#This Row],[Subtotal]]*(1-Tabela5[[#This Row],[Desconto]]),Tabela5[[#This Row],[Valor de Entrega]]),"")</f>
        <v>4.9800000000000004</v>
      </c>
      <c r="N27" s="29" t="str">
        <f>IFERROR(IF(Tabela5[[#This Row],[Id da Venda]]=C28,"",SUMIF(Tabela5[Id da Venda],Tabela5[[#This Row],[Id da Venda]],Tabela5[Total])),"")</f>
        <v/>
      </c>
    </row>
    <row r="28" spans="3:14" x14ac:dyDescent="0.3">
      <c r="C28">
        <v>1</v>
      </c>
      <c r="D28" s="26">
        <v>42187</v>
      </c>
      <c r="E28" t="s">
        <v>29</v>
      </c>
      <c r="F28" s="27" t="str">
        <f>IFERROR(VLOOKUP(Tabela5[[#This Row],[Produto]],cálculos!$H$3:$K$26,4,0),"")</f>
        <v>Pacote</v>
      </c>
      <c r="G28">
        <v>3</v>
      </c>
      <c r="H28" s="11">
        <f>IFERROR(VLOOKUP(Tabela5[[#This Row],[Produto]],cálculos!$H$3:$K$26,3,0),"")</f>
        <v>1.1499999999999999</v>
      </c>
      <c r="I28" s="11">
        <f>IFERROR(Tabela5[[#This Row],[Preço Unitário]]*Tabela5[[#This Row],[Quantidade]],"")</f>
        <v>3.4499999999999997</v>
      </c>
      <c r="J28" s="15"/>
      <c r="K28" s="25" t="s">
        <v>71</v>
      </c>
      <c r="L28" s="11">
        <f>IFERROR(IF(Tabela5[[#This Row],[Entrega]]=K29,0,VLOOKUP(Tabela5[[#This Row],[Entrega]],cálculos!$A$3:$B$7,2,0)),0)</f>
        <v>0</v>
      </c>
      <c r="M28" s="12">
        <f>IFERROR(SUM(Tabela5[[#This Row],[Subtotal]]*(1-Tabela5[[#This Row],[Desconto]]),Tabela5[[#This Row],[Valor de Entrega]]),"")</f>
        <v>3.4499999999999997</v>
      </c>
      <c r="N28" s="29" t="str">
        <f>IFERROR(IF(Tabela5[[#This Row],[Id da Venda]]=C29,"",SUMIF(Tabela5[Id da Venda],Tabela5[[#This Row],[Id da Venda]],Tabela5[Total])),"")</f>
        <v/>
      </c>
    </row>
    <row r="29" spans="3:14" x14ac:dyDescent="0.3">
      <c r="C29">
        <v>1</v>
      </c>
      <c r="D29" s="26">
        <v>42187</v>
      </c>
      <c r="E29" t="s">
        <v>34</v>
      </c>
      <c r="F29" s="27" t="str">
        <f>IFERROR(VLOOKUP(Tabela5[[#This Row],[Produto]],cálculos!$H$3:$K$26,4,0),"")</f>
        <v>Pacote</v>
      </c>
      <c r="G29">
        <v>1</v>
      </c>
      <c r="H29" s="11">
        <f>IFERROR(VLOOKUP(Tabela5[[#This Row],[Produto]],cálculos!$H$3:$K$26,3,0),"")</f>
        <v>1.99</v>
      </c>
      <c r="I29" s="11">
        <f>IFERROR(Tabela5[[#This Row],[Preço Unitário]]*Tabela5[[#This Row],[Quantidade]],"")</f>
        <v>1.99</v>
      </c>
      <c r="J29" s="15"/>
      <c r="K29" s="25" t="s">
        <v>71</v>
      </c>
      <c r="L29" s="11">
        <f>IFERROR(IF(Tabela5[[#This Row],[Entrega]]=K30,0,VLOOKUP(Tabela5[[#This Row],[Entrega]],cálculos!$A$3:$B$7,2,0)),0)</f>
        <v>0</v>
      </c>
      <c r="M29" s="12">
        <f>IFERROR(SUM(Tabela5[[#This Row],[Subtotal]]*(1-Tabela5[[#This Row],[Desconto]]),Tabela5[[#This Row],[Valor de Entrega]]),"")</f>
        <v>1.99</v>
      </c>
      <c r="N29" s="29">
        <f>IFERROR(IF(Tabela5[[#This Row],[Id da Venda]]=C30,"",SUMIF(Tabela5[Id da Venda],Tabela5[[#This Row],[Id da Venda]],Tabela5[Total])),"")</f>
        <v>10.42</v>
      </c>
    </row>
    <row r="30" spans="3:14" x14ac:dyDescent="0.3">
      <c r="C30" s="25" t="s">
        <v>54</v>
      </c>
      <c r="D30" s="25"/>
      <c r="E30" s="25"/>
      <c r="F30" s="25"/>
      <c r="G30" s="25"/>
      <c r="H30" s="27"/>
      <c r="I30" s="27"/>
      <c r="J30" s="27"/>
      <c r="K30" s="25"/>
      <c r="L30" s="12">
        <f>SUBTOTAL(109,Tabela5[Valor de Entrega])</f>
        <v>32.5</v>
      </c>
      <c r="N30" s="29">
        <f>SUBTOTAL(109,Tabela5[Total para o Cliente])</f>
        <v>647.91199999999992</v>
      </c>
    </row>
    <row r="31" spans="3:14" ht="15" thickBot="1" x14ac:dyDescent="0.35"/>
    <row r="32" spans="3:14" ht="19.2" thickTop="1" thickBot="1" x14ac:dyDescent="0.4">
      <c r="C32" s="65" t="s">
        <v>130</v>
      </c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5" cm="1">
        <f t="array" ref="N32">SUM(IF(FREQUENCY(Tabela5[Id da Venda],Tabela5[Id da Venda])&gt;0,1,0))</f>
        <v>13</v>
      </c>
    </row>
    <row r="33" ht="15" thickTop="1" x14ac:dyDescent="0.3"/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20F80D-8C4A-4A6E-BBCF-0522D6853FBD}">
          <x14:formula1>
            <xm:f>cálculos!$H$3:$H$26</xm:f>
          </x14:formula1>
          <xm:sqref>E5:E29</xm:sqref>
        </x14:dataValidation>
        <x14:dataValidation type="list" allowBlank="1" showInputMessage="1" showErrorMessage="1" xr:uid="{75B3F500-BB7C-4294-ABC4-3A2BE0456869}">
          <x14:formula1>
            <xm:f>cálculos!$A$3:$A$7</xm:f>
          </x14:formula1>
          <xm:sqref>K5:K29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7E79A-69DC-4540-809F-8126B8555189}">
  <dimension ref="A3:I56"/>
  <sheetViews>
    <sheetView showGridLines="0" tabSelected="1" topLeftCell="D1" workbookViewId="0">
      <selection activeCell="E3" sqref="E3"/>
    </sheetView>
  </sheetViews>
  <sheetFormatPr defaultRowHeight="14.4" x14ac:dyDescent="0.3"/>
  <cols>
    <col min="1" max="1" width="18.77734375" bestFit="1" customWidth="1"/>
    <col min="2" max="2" width="18.88671875" bestFit="1" customWidth="1"/>
    <col min="3" max="3" width="13.109375" bestFit="1" customWidth="1"/>
    <col min="5" max="5" width="20.88671875" bestFit="1" customWidth="1"/>
    <col min="6" max="6" width="18.88671875" bestFit="1" customWidth="1"/>
    <col min="7" max="7" width="23" bestFit="1" customWidth="1"/>
    <col min="8" max="8" width="13.109375" bestFit="1" customWidth="1"/>
    <col min="9" max="9" width="19.109375" bestFit="1" customWidth="1"/>
  </cols>
  <sheetData>
    <row r="3" spans="1:9" x14ac:dyDescent="0.3">
      <c r="A3" s="67" t="s">
        <v>147</v>
      </c>
      <c r="B3" s="25" t="s">
        <v>152</v>
      </c>
      <c r="C3" s="25" t="s">
        <v>149</v>
      </c>
      <c r="E3" s="67" t="s">
        <v>147</v>
      </c>
      <c r="F3" s="25" t="s">
        <v>152</v>
      </c>
      <c r="G3" s="25" t="s">
        <v>150</v>
      </c>
      <c r="H3" s="25" t="s">
        <v>149</v>
      </c>
      <c r="I3" s="25" t="s">
        <v>153</v>
      </c>
    </row>
    <row r="4" spans="1:9" x14ac:dyDescent="0.3">
      <c r="A4" s="19">
        <v>42187</v>
      </c>
      <c r="B4" s="27">
        <v>23</v>
      </c>
      <c r="C4" s="12">
        <v>74.25</v>
      </c>
      <c r="E4" s="21">
        <v>1</v>
      </c>
      <c r="F4" s="27">
        <v>6</v>
      </c>
      <c r="G4" s="12">
        <v>0</v>
      </c>
      <c r="H4" s="12">
        <v>10.42</v>
      </c>
      <c r="I4" s="27">
        <v>3</v>
      </c>
    </row>
    <row r="5" spans="1:9" x14ac:dyDescent="0.3">
      <c r="A5" s="68" t="s">
        <v>20</v>
      </c>
      <c r="B5" s="27">
        <v>3</v>
      </c>
      <c r="C5" s="12">
        <v>15.47</v>
      </c>
      <c r="E5" s="68" t="s">
        <v>71</v>
      </c>
      <c r="F5" s="27">
        <v>6</v>
      </c>
      <c r="G5" s="12">
        <v>0</v>
      </c>
      <c r="H5" s="12">
        <v>10.42</v>
      </c>
      <c r="I5" s="27">
        <v>3</v>
      </c>
    </row>
    <row r="6" spans="1:9" x14ac:dyDescent="0.3">
      <c r="A6" s="68" t="s">
        <v>29</v>
      </c>
      <c r="B6" s="27">
        <v>3</v>
      </c>
      <c r="C6" s="12">
        <v>3.4499999999999997</v>
      </c>
      <c r="E6" s="72" t="s">
        <v>29</v>
      </c>
      <c r="F6" s="27">
        <v>3</v>
      </c>
      <c r="G6" s="12">
        <v>0</v>
      </c>
      <c r="H6" s="12">
        <v>3.4499999999999997</v>
      </c>
      <c r="I6" s="27">
        <v>1</v>
      </c>
    </row>
    <row r="7" spans="1:9" x14ac:dyDescent="0.3">
      <c r="A7" s="68" t="s">
        <v>17</v>
      </c>
      <c r="B7" s="27">
        <v>7</v>
      </c>
      <c r="C7" s="12">
        <v>23.930000000000003</v>
      </c>
      <c r="E7" s="72" t="s">
        <v>17</v>
      </c>
      <c r="F7" s="27">
        <v>2</v>
      </c>
      <c r="G7" s="12">
        <v>0</v>
      </c>
      <c r="H7" s="12">
        <v>4.9800000000000004</v>
      </c>
      <c r="I7" s="27">
        <v>1</v>
      </c>
    </row>
    <row r="8" spans="1:9" x14ac:dyDescent="0.3">
      <c r="A8" s="68" t="s">
        <v>34</v>
      </c>
      <c r="B8" s="27">
        <v>4</v>
      </c>
      <c r="C8" s="12">
        <v>14.46</v>
      </c>
      <c r="E8" s="72" t="s">
        <v>34</v>
      </c>
      <c r="F8" s="27">
        <v>1</v>
      </c>
      <c r="G8" s="12">
        <v>0</v>
      </c>
      <c r="H8" s="12">
        <v>1.99</v>
      </c>
      <c r="I8" s="27">
        <v>1</v>
      </c>
    </row>
    <row r="9" spans="1:9" x14ac:dyDescent="0.3">
      <c r="A9" s="68" t="s">
        <v>77</v>
      </c>
      <c r="B9" s="27">
        <v>6</v>
      </c>
      <c r="C9" s="12">
        <v>16.939999999999998</v>
      </c>
      <c r="E9" s="21">
        <v>2</v>
      </c>
      <c r="F9" s="27">
        <v>1</v>
      </c>
      <c r="G9" s="12">
        <v>6.5</v>
      </c>
      <c r="H9" s="12">
        <v>8.49</v>
      </c>
      <c r="I9" s="27">
        <v>2</v>
      </c>
    </row>
    <row r="10" spans="1:9" x14ac:dyDescent="0.3">
      <c r="A10" s="19">
        <v>42188</v>
      </c>
      <c r="B10" s="27">
        <v>72.5</v>
      </c>
      <c r="C10" s="12">
        <v>301.06</v>
      </c>
      <c r="E10" s="68" t="s">
        <v>73</v>
      </c>
      <c r="F10" s="27">
        <v>1</v>
      </c>
      <c r="G10" s="12">
        <v>6.5</v>
      </c>
      <c r="H10" s="12">
        <v>8.49</v>
      </c>
      <c r="I10" s="27">
        <v>2</v>
      </c>
    </row>
    <row r="11" spans="1:9" x14ac:dyDescent="0.3">
      <c r="A11" s="68" t="s">
        <v>33</v>
      </c>
      <c r="B11" s="27">
        <v>2</v>
      </c>
      <c r="C11" s="12">
        <v>1.58</v>
      </c>
      <c r="E11" s="72" t="s">
        <v>34</v>
      </c>
      <c r="F11" s="27">
        <v>1</v>
      </c>
      <c r="G11" s="12">
        <v>6.5</v>
      </c>
      <c r="H11" s="12">
        <v>8.49</v>
      </c>
      <c r="I11" s="27">
        <v>2</v>
      </c>
    </row>
    <row r="12" spans="1:9" x14ac:dyDescent="0.3">
      <c r="A12" s="68" t="s">
        <v>21</v>
      </c>
      <c r="B12" s="27">
        <v>6</v>
      </c>
      <c r="C12" s="12">
        <v>95.4</v>
      </c>
      <c r="E12" s="21">
        <v>3</v>
      </c>
      <c r="F12" s="27">
        <v>6</v>
      </c>
      <c r="G12" s="12">
        <v>8</v>
      </c>
      <c r="H12" s="12">
        <v>16.939999999999998</v>
      </c>
      <c r="I12" s="27">
        <v>3</v>
      </c>
    </row>
    <row r="13" spans="1:9" x14ac:dyDescent="0.3">
      <c r="A13" s="68" t="s">
        <v>30</v>
      </c>
      <c r="B13" s="27">
        <v>52</v>
      </c>
      <c r="C13" s="12">
        <v>114.49999999999999</v>
      </c>
      <c r="E13" s="68" t="s">
        <v>75</v>
      </c>
      <c r="F13" s="27">
        <v>6</v>
      </c>
      <c r="G13" s="12">
        <v>8</v>
      </c>
      <c r="H13" s="12">
        <v>16.939999999999998</v>
      </c>
      <c r="I13" s="27">
        <v>3</v>
      </c>
    </row>
    <row r="14" spans="1:9" x14ac:dyDescent="0.3">
      <c r="A14" s="68" t="s">
        <v>18</v>
      </c>
      <c r="B14" s="27">
        <v>4</v>
      </c>
      <c r="C14" s="12">
        <v>17.12</v>
      </c>
      <c r="E14" s="72" t="s">
        <v>77</v>
      </c>
      <c r="F14" s="27">
        <v>6</v>
      </c>
      <c r="G14" s="12">
        <v>8</v>
      </c>
      <c r="H14" s="12">
        <v>16.939999999999998</v>
      </c>
      <c r="I14" s="27">
        <v>3</v>
      </c>
    </row>
    <row r="15" spans="1:9" x14ac:dyDescent="0.3">
      <c r="A15" s="68" t="s">
        <v>82</v>
      </c>
      <c r="B15" s="27">
        <v>5</v>
      </c>
      <c r="C15" s="12">
        <v>14.450000000000001</v>
      </c>
      <c r="E15" s="21">
        <v>4</v>
      </c>
      <c r="F15" s="27">
        <v>7</v>
      </c>
      <c r="G15" s="12">
        <v>6.5</v>
      </c>
      <c r="H15" s="12">
        <v>22.930000000000003</v>
      </c>
      <c r="I15" s="27">
        <v>8</v>
      </c>
    </row>
    <row r="16" spans="1:9" x14ac:dyDescent="0.3">
      <c r="A16" s="68" t="s">
        <v>24</v>
      </c>
      <c r="B16" s="27">
        <v>1.5</v>
      </c>
      <c r="C16" s="12">
        <v>38.849999999999994</v>
      </c>
      <c r="E16" s="68" t="s">
        <v>73</v>
      </c>
      <c r="F16" s="27">
        <v>7</v>
      </c>
      <c r="G16" s="12">
        <v>6.5</v>
      </c>
      <c r="H16" s="12">
        <v>22.930000000000003</v>
      </c>
      <c r="I16" s="27">
        <v>8</v>
      </c>
    </row>
    <row r="17" spans="1:9" x14ac:dyDescent="0.3">
      <c r="A17" s="68" t="s">
        <v>28</v>
      </c>
      <c r="B17" s="27">
        <v>2</v>
      </c>
      <c r="C17" s="12">
        <v>19.16</v>
      </c>
      <c r="E17" s="72" t="s">
        <v>17</v>
      </c>
      <c r="F17" s="27">
        <v>5</v>
      </c>
      <c r="G17" s="12">
        <v>6.5</v>
      </c>
      <c r="H17" s="12">
        <v>18.950000000000003</v>
      </c>
      <c r="I17" s="27">
        <v>4</v>
      </c>
    </row>
    <row r="18" spans="1:9" x14ac:dyDescent="0.3">
      <c r="A18" s="19">
        <v>42189</v>
      </c>
      <c r="B18" s="27">
        <v>21</v>
      </c>
      <c r="C18" s="12">
        <v>59.33</v>
      </c>
      <c r="E18" s="72" t="s">
        <v>34</v>
      </c>
      <c r="F18" s="27">
        <v>2</v>
      </c>
      <c r="G18" s="12">
        <v>0</v>
      </c>
      <c r="H18" s="12">
        <v>3.98</v>
      </c>
      <c r="I18" s="27">
        <v>4</v>
      </c>
    </row>
    <row r="19" spans="1:9" x14ac:dyDescent="0.3">
      <c r="A19" s="68" t="s">
        <v>30</v>
      </c>
      <c r="B19" s="27">
        <v>11</v>
      </c>
      <c r="C19" s="12">
        <v>24.09</v>
      </c>
      <c r="E19" s="21">
        <v>5</v>
      </c>
      <c r="F19" s="27">
        <v>3</v>
      </c>
      <c r="G19" s="12">
        <v>6.5</v>
      </c>
      <c r="H19" s="12">
        <v>15.47</v>
      </c>
      <c r="I19" s="27">
        <v>5</v>
      </c>
    </row>
    <row r="20" spans="1:9" x14ac:dyDescent="0.3">
      <c r="A20" s="68" t="s">
        <v>18</v>
      </c>
      <c r="B20" s="27">
        <v>6</v>
      </c>
      <c r="C20" s="12">
        <v>25.68</v>
      </c>
      <c r="E20" s="68" t="s">
        <v>76</v>
      </c>
      <c r="F20" s="27">
        <v>3</v>
      </c>
      <c r="G20" s="12">
        <v>6.5</v>
      </c>
      <c r="H20" s="12">
        <v>15.47</v>
      </c>
      <c r="I20" s="27">
        <v>5</v>
      </c>
    </row>
    <row r="21" spans="1:9" x14ac:dyDescent="0.3">
      <c r="A21" s="68" t="s">
        <v>83</v>
      </c>
      <c r="B21" s="27">
        <v>4</v>
      </c>
      <c r="C21" s="12">
        <v>9.56</v>
      </c>
      <c r="E21" s="72" t="s">
        <v>20</v>
      </c>
      <c r="F21" s="27">
        <v>3</v>
      </c>
      <c r="G21" s="12">
        <v>6.5</v>
      </c>
      <c r="H21" s="12">
        <v>15.47</v>
      </c>
      <c r="I21" s="27">
        <v>5</v>
      </c>
    </row>
    <row r="22" spans="1:9" x14ac:dyDescent="0.3">
      <c r="A22" s="19">
        <v>42190</v>
      </c>
      <c r="B22" s="27">
        <v>45</v>
      </c>
      <c r="C22" s="12">
        <v>219.77199999999999</v>
      </c>
      <c r="E22" s="21">
        <v>6</v>
      </c>
      <c r="F22" s="27">
        <v>20</v>
      </c>
      <c r="G22" s="12">
        <v>0</v>
      </c>
      <c r="H22" s="12">
        <v>123.26</v>
      </c>
      <c r="I22" s="27">
        <v>18</v>
      </c>
    </row>
    <row r="23" spans="1:9" x14ac:dyDescent="0.3">
      <c r="A23" s="68" t="s">
        <v>29</v>
      </c>
      <c r="B23" s="27">
        <v>10</v>
      </c>
      <c r="C23" s="12">
        <v>11.5</v>
      </c>
      <c r="E23" s="68" t="s">
        <v>71</v>
      </c>
      <c r="F23" s="27">
        <v>20</v>
      </c>
      <c r="G23" s="12">
        <v>0</v>
      </c>
      <c r="H23" s="12">
        <v>123.26</v>
      </c>
      <c r="I23" s="27">
        <v>18</v>
      </c>
    </row>
    <row r="24" spans="1:9" x14ac:dyDescent="0.3">
      <c r="A24" s="68" t="s">
        <v>33</v>
      </c>
      <c r="B24" s="27">
        <v>1</v>
      </c>
      <c r="C24" s="12">
        <v>0.79</v>
      </c>
      <c r="E24" s="72" t="s">
        <v>33</v>
      </c>
      <c r="F24" s="27">
        <v>2</v>
      </c>
      <c r="G24" s="12">
        <v>0</v>
      </c>
      <c r="H24" s="12">
        <v>1.58</v>
      </c>
      <c r="I24" s="27">
        <v>6</v>
      </c>
    </row>
    <row r="25" spans="1:9" x14ac:dyDescent="0.3">
      <c r="A25" s="68" t="s">
        <v>21</v>
      </c>
      <c r="B25" s="27">
        <v>10</v>
      </c>
      <c r="C25" s="12">
        <v>151.04999999999998</v>
      </c>
      <c r="E25" s="72" t="s">
        <v>21</v>
      </c>
      <c r="F25" s="27">
        <v>6</v>
      </c>
      <c r="G25" s="12">
        <v>0</v>
      </c>
      <c r="H25" s="12">
        <v>95.4</v>
      </c>
      <c r="I25" s="27">
        <v>6</v>
      </c>
    </row>
    <row r="26" spans="1:9" x14ac:dyDescent="0.3">
      <c r="A26" s="68" t="s">
        <v>30</v>
      </c>
      <c r="B26" s="27">
        <v>24</v>
      </c>
      <c r="C26" s="12">
        <v>56.432000000000002</v>
      </c>
      <c r="E26" s="72" t="s">
        <v>30</v>
      </c>
      <c r="F26" s="27">
        <v>12</v>
      </c>
      <c r="G26" s="12">
        <v>0</v>
      </c>
      <c r="H26" s="12">
        <v>26.28</v>
      </c>
      <c r="I26" s="27">
        <v>6</v>
      </c>
    </row>
    <row r="27" spans="1:9" x14ac:dyDescent="0.3">
      <c r="A27" s="68" t="s">
        <v>151</v>
      </c>
      <c r="B27" s="27"/>
      <c r="C27" s="12">
        <v>0</v>
      </c>
      <c r="E27" s="21">
        <v>7</v>
      </c>
      <c r="F27" s="27">
        <v>20</v>
      </c>
      <c r="G27" s="12">
        <v>0</v>
      </c>
      <c r="H27" s="12">
        <v>41.609999999999992</v>
      </c>
      <c r="I27" s="27">
        <v>7</v>
      </c>
    </row>
    <row r="28" spans="1:9" x14ac:dyDescent="0.3">
      <c r="A28" s="19" t="s">
        <v>148</v>
      </c>
      <c r="B28" s="27">
        <v>161.5</v>
      </c>
      <c r="C28" s="12">
        <v>654.41200000000003</v>
      </c>
      <c r="E28" s="68" t="s">
        <v>71</v>
      </c>
      <c r="F28" s="27">
        <v>20</v>
      </c>
      <c r="G28" s="12">
        <v>0</v>
      </c>
      <c r="H28" s="12">
        <v>41.609999999999992</v>
      </c>
      <c r="I28" s="27">
        <v>7</v>
      </c>
    </row>
    <row r="29" spans="1:9" x14ac:dyDescent="0.3">
      <c r="E29" s="72" t="s">
        <v>30</v>
      </c>
      <c r="F29" s="27">
        <v>20</v>
      </c>
      <c r="G29" s="12">
        <v>0</v>
      </c>
      <c r="H29" s="12">
        <v>41.609999999999992</v>
      </c>
      <c r="I29" s="27">
        <v>7</v>
      </c>
    </row>
    <row r="30" spans="1:9" x14ac:dyDescent="0.3">
      <c r="E30" s="21">
        <v>8</v>
      </c>
      <c r="F30" s="27">
        <v>20</v>
      </c>
      <c r="G30" s="12">
        <v>5</v>
      </c>
      <c r="H30" s="12">
        <v>46.609999999999992</v>
      </c>
      <c r="I30" s="27">
        <v>8</v>
      </c>
    </row>
    <row r="31" spans="1:9" x14ac:dyDescent="0.3">
      <c r="E31" s="68" t="s">
        <v>69</v>
      </c>
      <c r="F31" s="27">
        <v>20</v>
      </c>
      <c r="G31" s="12">
        <v>5</v>
      </c>
      <c r="H31" s="12">
        <v>46.609999999999992</v>
      </c>
      <c r="I31" s="27">
        <v>8</v>
      </c>
    </row>
    <row r="32" spans="1:9" x14ac:dyDescent="0.3">
      <c r="E32" s="72" t="s">
        <v>30</v>
      </c>
      <c r="F32" s="27">
        <v>20</v>
      </c>
      <c r="G32" s="12">
        <v>5</v>
      </c>
      <c r="H32" s="12">
        <v>46.609999999999992</v>
      </c>
      <c r="I32" s="27">
        <v>8</v>
      </c>
    </row>
    <row r="33" spans="5:9" x14ac:dyDescent="0.3">
      <c r="E33" s="21">
        <v>9</v>
      </c>
      <c r="F33" s="27">
        <v>12.5</v>
      </c>
      <c r="G33" s="12">
        <v>0</v>
      </c>
      <c r="H33" s="12">
        <v>89.579999999999984</v>
      </c>
      <c r="I33" s="27">
        <v>36</v>
      </c>
    </row>
    <row r="34" spans="5:9" x14ac:dyDescent="0.3">
      <c r="E34" s="68" t="s">
        <v>71</v>
      </c>
      <c r="F34" s="27">
        <v>12.5</v>
      </c>
      <c r="G34" s="12">
        <v>0</v>
      </c>
      <c r="H34" s="12">
        <v>89.579999999999984</v>
      </c>
      <c r="I34" s="27">
        <v>36</v>
      </c>
    </row>
    <row r="35" spans="5:9" x14ac:dyDescent="0.3">
      <c r="E35" s="72" t="s">
        <v>18</v>
      </c>
      <c r="F35" s="27">
        <v>4</v>
      </c>
      <c r="G35" s="12">
        <v>0</v>
      </c>
      <c r="H35" s="12">
        <v>17.12</v>
      </c>
      <c r="I35" s="27">
        <v>9</v>
      </c>
    </row>
    <row r="36" spans="5:9" x14ac:dyDescent="0.3">
      <c r="E36" s="72" t="s">
        <v>82</v>
      </c>
      <c r="F36" s="27">
        <v>5</v>
      </c>
      <c r="G36" s="12">
        <v>0</v>
      </c>
      <c r="H36" s="12">
        <v>14.450000000000001</v>
      </c>
      <c r="I36" s="27">
        <v>9</v>
      </c>
    </row>
    <row r="37" spans="5:9" x14ac:dyDescent="0.3">
      <c r="E37" s="72" t="s">
        <v>24</v>
      </c>
      <c r="F37" s="27">
        <v>1.5</v>
      </c>
      <c r="G37" s="12">
        <v>0</v>
      </c>
      <c r="H37" s="12">
        <v>38.849999999999994</v>
      </c>
      <c r="I37" s="27">
        <v>9</v>
      </c>
    </row>
    <row r="38" spans="5:9" x14ac:dyDescent="0.3">
      <c r="E38" s="72" t="s">
        <v>28</v>
      </c>
      <c r="F38" s="27">
        <v>2</v>
      </c>
      <c r="G38" s="12">
        <v>0</v>
      </c>
      <c r="H38" s="12">
        <v>19.16</v>
      </c>
      <c r="I38" s="27">
        <v>9</v>
      </c>
    </row>
    <row r="39" spans="5:9" x14ac:dyDescent="0.3">
      <c r="E39" s="21">
        <v>10</v>
      </c>
      <c r="F39" s="27">
        <v>10</v>
      </c>
      <c r="G39" s="12">
        <v>0</v>
      </c>
      <c r="H39" s="12">
        <v>35.24</v>
      </c>
      <c r="I39" s="27">
        <v>20</v>
      </c>
    </row>
    <row r="40" spans="5:9" x14ac:dyDescent="0.3">
      <c r="E40" s="68" t="s">
        <v>71</v>
      </c>
      <c r="F40" s="27">
        <v>10</v>
      </c>
      <c r="G40" s="12">
        <v>0</v>
      </c>
      <c r="H40" s="12">
        <v>35.24</v>
      </c>
      <c r="I40" s="27">
        <v>20</v>
      </c>
    </row>
    <row r="41" spans="5:9" x14ac:dyDescent="0.3">
      <c r="E41" s="72" t="s">
        <v>18</v>
      </c>
      <c r="F41" s="27">
        <v>6</v>
      </c>
      <c r="G41" s="12">
        <v>0</v>
      </c>
      <c r="H41" s="12">
        <v>25.68</v>
      </c>
      <c r="I41" s="27">
        <v>10</v>
      </c>
    </row>
    <row r="42" spans="5:9" x14ac:dyDescent="0.3">
      <c r="E42" s="72" t="s">
        <v>83</v>
      </c>
      <c r="F42" s="27">
        <v>4</v>
      </c>
      <c r="G42" s="12">
        <v>0</v>
      </c>
      <c r="H42" s="12">
        <v>9.56</v>
      </c>
      <c r="I42" s="27">
        <v>10</v>
      </c>
    </row>
    <row r="43" spans="5:9" x14ac:dyDescent="0.3">
      <c r="E43" s="21">
        <v>11</v>
      </c>
      <c r="F43" s="27">
        <v>10</v>
      </c>
      <c r="G43" s="12">
        <v>0</v>
      </c>
      <c r="H43" s="12">
        <v>21.9</v>
      </c>
      <c r="I43" s="27">
        <v>11</v>
      </c>
    </row>
    <row r="44" spans="5:9" x14ac:dyDescent="0.3">
      <c r="E44" s="68" t="s">
        <v>71</v>
      </c>
      <c r="F44" s="27">
        <v>10</v>
      </c>
      <c r="G44" s="12">
        <v>0</v>
      </c>
      <c r="H44" s="12">
        <v>21.9</v>
      </c>
      <c r="I44" s="27">
        <v>11</v>
      </c>
    </row>
    <row r="45" spans="5:9" x14ac:dyDescent="0.3">
      <c r="E45" s="72" t="s">
        <v>30</v>
      </c>
      <c r="F45" s="27">
        <v>10</v>
      </c>
      <c r="G45" s="12">
        <v>0</v>
      </c>
      <c r="H45" s="12">
        <v>21.9</v>
      </c>
      <c r="I45" s="27">
        <v>11</v>
      </c>
    </row>
    <row r="46" spans="5:9" x14ac:dyDescent="0.3">
      <c r="E46" s="21">
        <v>12</v>
      </c>
      <c r="F46" s="27">
        <v>1</v>
      </c>
      <c r="G46" s="12">
        <v>0</v>
      </c>
      <c r="H46" s="12">
        <v>2.19</v>
      </c>
      <c r="I46" s="27">
        <v>12</v>
      </c>
    </row>
    <row r="47" spans="5:9" x14ac:dyDescent="0.3">
      <c r="E47" s="68" t="s">
        <v>71</v>
      </c>
      <c r="F47" s="27">
        <v>1</v>
      </c>
      <c r="G47" s="12">
        <v>0</v>
      </c>
      <c r="H47" s="12">
        <v>2.19</v>
      </c>
      <c r="I47" s="27">
        <v>12</v>
      </c>
    </row>
    <row r="48" spans="5:9" x14ac:dyDescent="0.3">
      <c r="E48" s="72" t="s">
        <v>30</v>
      </c>
      <c r="F48" s="27">
        <v>1</v>
      </c>
      <c r="G48" s="12">
        <v>0</v>
      </c>
      <c r="H48" s="12">
        <v>2.19</v>
      </c>
      <c r="I48" s="27">
        <v>12</v>
      </c>
    </row>
    <row r="49" spans="5:9" x14ac:dyDescent="0.3">
      <c r="E49" s="21">
        <v>13</v>
      </c>
      <c r="F49" s="27">
        <v>45</v>
      </c>
      <c r="G49" s="12">
        <v>6.5</v>
      </c>
      <c r="H49" s="12">
        <v>219.77199999999999</v>
      </c>
      <c r="I49" s="27">
        <v>65</v>
      </c>
    </row>
    <row r="50" spans="5:9" x14ac:dyDescent="0.3">
      <c r="E50" s="68" t="s">
        <v>76</v>
      </c>
      <c r="F50" s="27">
        <v>45</v>
      </c>
      <c r="G50" s="12">
        <v>6.5</v>
      </c>
      <c r="H50" s="12">
        <v>219.77199999999999</v>
      </c>
      <c r="I50" s="27">
        <v>65</v>
      </c>
    </row>
    <row r="51" spans="5:9" x14ac:dyDescent="0.3">
      <c r="E51" s="72" t="s">
        <v>29</v>
      </c>
      <c r="F51" s="27">
        <v>10</v>
      </c>
      <c r="G51" s="12">
        <v>0</v>
      </c>
      <c r="H51" s="12">
        <v>11.5</v>
      </c>
      <c r="I51" s="27">
        <v>13</v>
      </c>
    </row>
    <row r="52" spans="5:9" x14ac:dyDescent="0.3">
      <c r="E52" s="72" t="s">
        <v>33</v>
      </c>
      <c r="F52" s="27">
        <v>1</v>
      </c>
      <c r="G52" s="12">
        <v>0</v>
      </c>
      <c r="H52" s="12">
        <v>0.79</v>
      </c>
      <c r="I52" s="27">
        <v>13</v>
      </c>
    </row>
    <row r="53" spans="5:9" x14ac:dyDescent="0.3">
      <c r="E53" s="72" t="s">
        <v>21</v>
      </c>
      <c r="F53" s="27">
        <v>10</v>
      </c>
      <c r="G53" s="12">
        <v>0</v>
      </c>
      <c r="H53" s="12">
        <v>151.04999999999998</v>
      </c>
      <c r="I53" s="27">
        <v>13</v>
      </c>
    </row>
    <row r="54" spans="5:9" x14ac:dyDescent="0.3">
      <c r="E54" s="72" t="s">
        <v>30</v>
      </c>
      <c r="F54" s="27">
        <v>24</v>
      </c>
      <c r="G54" s="12">
        <v>6.5</v>
      </c>
      <c r="H54" s="12">
        <v>56.432000000000002</v>
      </c>
      <c r="I54" s="27">
        <v>13</v>
      </c>
    </row>
    <row r="55" spans="5:9" x14ac:dyDescent="0.3">
      <c r="E55" s="72" t="s">
        <v>151</v>
      </c>
      <c r="F55" s="27"/>
      <c r="G55" s="12">
        <v>0</v>
      </c>
      <c r="H55" s="12">
        <v>0</v>
      </c>
      <c r="I55" s="27">
        <v>13</v>
      </c>
    </row>
    <row r="56" spans="5:9" x14ac:dyDescent="0.3">
      <c r="E56" s="21" t="s">
        <v>148</v>
      </c>
      <c r="F56" s="27">
        <v>161.5</v>
      </c>
      <c r="G56" s="12">
        <v>39</v>
      </c>
      <c r="H56" s="12">
        <v>654.41200000000003</v>
      </c>
      <c r="I56" s="27">
        <v>198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DE4FF-C7A1-4376-9525-A47DE36E232A}">
  <sheetPr codeName="Planilha9"/>
  <dimension ref="C2:N34"/>
  <sheetViews>
    <sheetView showGridLines="0" workbookViewId="0">
      <selection activeCell="C33" sqref="C33:N33"/>
    </sheetView>
  </sheetViews>
  <sheetFormatPr defaultRowHeight="14.4" x14ac:dyDescent="0.3"/>
  <cols>
    <col min="1" max="2" width="8.88671875" style="25"/>
    <col min="3" max="3" width="12.44140625" style="25" customWidth="1"/>
    <col min="4" max="4" width="10.5546875" style="25" bestFit="1" customWidth="1"/>
    <col min="5" max="5" width="9.44140625" style="25" customWidth="1"/>
    <col min="6" max="6" width="9" style="25" customWidth="1"/>
    <col min="7" max="7" width="12.33203125" style="25" customWidth="1"/>
    <col min="8" max="8" width="14.6640625" style="25" customWidth="1"/>
    <col min="9" max="9" width="10.33203125" style="25" bestFit="1" customWidth="1"/>
    <col min="10" max="10" width="10.6640625" style="25" customWidth="1"/>
    <col min="11" max="11" width="9.109375" style="25" customWidth="1"/>
    <col min="12" max="12" width="16.33203125" style="25" customWidth="1"/>
    <col min="13" max="13" width="10.33203125" style="25" bestFit="1" customWidth="1"/>
    <col min="14" max="14" width="18.88671875" style="25" customWidth="1"/>
    <col min="15" max="16384" width="8.88671875" style="25"/>
  </cols>
  <sheetData>
    <row r="2" spans="3:14" s="28" customFormat="1" ht="28.05" customHeight="1" x14ac:dyDescent="0.3">
      <c r="C2" s="28" t="s">
        <v>117</v>
      </c>
    </row>
    <row r="3" spans="3:14" ht="24.6" customHeight="1" x14ac:dyDescent="0.3"/>
    <row r="4" spans="3:14" x14ac:dyDescent="0.3">
      <c r="C4" s="25" t="s">
        <v>111</v>
      </c>
      <c r="D4" s="25" t="s">
        <v>42</v>
      </c>
      <c r="E4" s="25" t="s">
        <v>105</v>
      </c>
      <c r="F4" s="25" t="s">
        <v>68</v>
      </c>
      <c r="G4" s="25" t="s">
        <v>62</v>
      </c>
      <c r="H4" s="25" t="s">
        <v>59</v>
      </c>
      <c r="I4" s="25" t="s">
        <v>112</v>
      </c>
      <c r="J4" s="25" t="s">
        <v>60</v>
      </c>
      <c r="K4" s="25" t="s">
        <v>113</v>
      </c>
      <c r="L4" s="25" t="s">
        <v>114</v>
      </c>
      <c r="M4" s="25" t="s">
        <v>54</v>
      </c>
      <c r="N4" s="25" t="s">
        <v>115</v>
      </c>
    </row>
    <row r="5" spans="3:14" x14ac:dyDescent="0.3">
      <c r="C5" s="25">
        <v>101</v>
      </c>
      <c r="D5" s="26">
        <v>43802</v>
      </c>
      <c r="E5" s="25" t="s">
        <v>29</v>
      </c>
      <c r="F5" s="27" t="str">
        <f>IFERROR(VLOOKUP(Tabela511[[#This Row],[Produto]],cálculos!$H$3:$K$26,4,0),"")</f>
        <v>Pacote</v>
      </c>
      <c r="G5" s="25">
        <v>0</v>
      </c>
      <c r="H5" s="64">
        <f>IFERROR(VLOOKUP(Tabela511[[#This Row],[Produto]],cálculos!$H$3:$K$26,3,0),"")</f>
        <v>1.1499999999999999</v>
      </c>
      <c r="I5" s="11">
        <f>IFERROR(Tabela511[[#This Row],[Preço Unitário]]*Tabela511[[#This Row],[Quantidade]],"")</f>
        <v>0</v>
      </c>
      <c r="J5" s="15"/>
      <c r="L5" s="64" t="str">
        <f>IFERROR(IF(Tabela511[[#This Row],[Entrega]]=K6,"",VLOOKUP(Tabela511[[#This Row],[Entrega]],cálculos!$A$3:$B$7,2,0)),"")</f>
        <v/>
      </c>
      <c r="M5" s="12">
        <f>IFERROR(SUM(Tabela511[[#This Row],[Subtotal]]*(1-Tabela511[[#This Row],[Desconto]]),Tabela511[[#This Row],[Valor de Entrega]]),"")</f>
        <v>0</v>
      </c>
      <c r="N5" s="29">
        <f>IFERROR(IF(Tabela511[[#This Row],[Id da Venda]]=C6,"",SUMIF(Tabela511[Id da Venda],Tabela511[[#This Row],[Id da Venda]],Tabela511[Total])),"")</f>
        <v>0</v>
      </c>
    </row>
    <row r="6" spans="3:14" x14ac:dyDescent="0.3">
      <c r="C6" s="25">
        <v>100</v>
      </c>
      <c r="D6" s="30">
        <v>42190</v>
      </c>
      <c r="E6" s="25" t="s">
        <v>31</v>
      </c>
      <c r="F6" s="27" t="str">
        <f>IFERROR(VLOOKUP(Tabela511[[#This Row],[Produto]],cálculos!$H$3:$K$26,4,0),"")</f>
        <v>Garrafa</v>
      </c>
      <c r="G6" s="25">
        <v>1</v>
      </c>
      <c r="H6" s="11">
        <f>IFERROR(VLOOKUP(Tabela511[[#This Row],[Produto]],cálculos!$H$3:$K$26,3,0),"")</f>
        <v>54.9</v>
      </c>
      <c r="I6" s="11">
        <f>IFERROR(Tabela511[[#This Row],[Preço Unitário]]*Tabela511[[#This Row],[Quantidade]],"")</f>
        <v>54.9</v>
      </c>
      <c r="J6" s="15"/>
      <c r="K6" s="25" t="s">
        <v>75</v>
      </c>
      <c r="L6" s="11">
        <f>IFERROR(IF(Tabela511[[#This Row],[Entrega]]=K7,"",VLOOKUP(Tabela511[[#This Row],[Entrega]],cálculos!$A$3:$B$7,2,0)),"")</f>
        <v>8</v>
      </c>
      <c r="M6" s="12">
        <f>IFERROR(SUM(Tabela511[[#This Row],[Subtotal]]*(1-Tabela511[[#This Row],[Desconto]]),Tabela511[[#This Row],[Valor de Entrega]]),"")</f>
        <v>62.9</v>
      </c>
      <c r="N6" s="29">
        <f>IFERROR(IF(Tabela511[[#This Row],[Id da Venda]]=C7,"",SUMIF(Tabela511[Id da Venda],Tabela511[[#This Row],[Id da Venda]],Tabela511[Total])),"")</f>
        <v>62.9</v>
      </c>
    </row>
    <row r="7" spans="3:14" x14ac:dyDescent="0.3">
      <c r="D7" s="26"/>
      <c r="F7" s="25" t="str">
        <f>IFERROR(VLOOKUP(Tabela511[[#This Row],[Produto]],cálculos!$H$3:$K$26,4,0),"")</f>
        <v/>
      </c>
      <c r="H7" s="11" t="str">
        <f>IFERROR(VLOOKUP(Tabela511[[#This Row],[Produto]],cálculos!$H$3:$K$26,3,0),"")</f>
        <v/>
      </c>
      <c r="I7" s="11" t="str">
        <f>IFERROR(Tabela511[[#This Row],[Preço Unitário]]*Tabela511[[#This Row],[Quantidade]],"")</f>
        <v/>
      </c>
      <c r="J7" s="15"/>
      <c r="L7" s="11" t="str">
        <f>IFERROR(IF(Tabela511[[#This Row],[Entrega]]=K8,"",VLOOKUP(Tabela511[[#This Row],[Entrega]],cálculos!$A$3:$B$7,2,0)),"")</f>
        <v/>
      </c>
      <c r="M7" s="12" t="str">
        <f>IFERROR(SUM(Tabela511[[#This Row],[Subtotal]]*(1-Tabela511[[#This Row],[Desconto]]),Tabela511[[#This Row],[Valor de Entrega]]),"")</f>
        <v/>
      </c>
      <c r="N7" s="29" t="str">
        <f>IFERROR(IF(Tabela511[[#This Row],[Id da Venda]]=C8,"",SUMIF(Tabela511[Id da Venda],Tabela511[[#This Row],[Id da Venda]],Tabela511[Total])),"")</f>
        <v/>
      </c>
    </row>
    <row r="8" spans="3:14" x14ac:dyDescent="0.3">
      <c r="D8" s="26"/>
      <c r="F8" s="25" t="str">
        <f>IFERROR(VLOOKUP(Tabela511[[#This Row],[Produto]],cálculos!$H$3:$K$26,4,0),"")</f>
        <v/>
      </c>
      <c r="H8" s="11" t="str">
        <f>IFERROR(VLOOKUP(Tabela511[[#This Row],[Produto]],cálculos!$H$3:$K$26,3,0),"")</f>
        <v/>
      </c>
      <c r="I8" s="11" t="str">
        <f>IFERROR(Tabela511[[#This Row],[Preço Unitário]]*Tabela511[[#This Row],[Quantidade]],"")</f>
        <v/>
      </c>
      <c r="J8" s="15"/>
      <c r="L8" s="11" t="str">
        <f>IFERROR(IF(Tabela511[[#This Row],[Entrega]]=K9,"",VLOOKUP(Tabela511[[#This Row],[Entrega]],cálculos!$A$3:$B$7,2,0)),"")</f>
        <v/>
      </c>
      <c r="M8" s="12" t="str">
        <f>IFERROR(SUM(Tabela511[[#This Row],[Subtotal]]*(1-Tabela511[[#This Row],[Desconto]]),Tabela511[[#This Row],[Valor de Entrega]]),"")</f>
        <v/>
      </c>
      <c r="N8" s="29" t="str">
        <f>IFERROR(IF(Tabela511[[#This Row],[Id da Venda]]=C9,"",SUMIF(Tabela511[Id da Venda],Tabela511[[#This Row],[Id da Venda]],Tabela511[Total])),"")</f>
        <v/>
      </c>
    </row>
    <row r="9" spans="3:14" x14ac:dyDescent="0.3">
      <c r="D9" s="26"/>
      <c r="F9" s="25" t="str">
        <f>IFERROR(VLOOKUP(Tabela511[[#This Row],[Produto]],cálculos!$H$3:$K$26,4,0),"")</f>
        <v/>
      </c>
      <c r="H9" s="11" t="str">
        <f>IFERROR(VLOOKUP(Tabela511[[#This Row],[Produto]],cálculos!$H$3:$K$26,3,0),"")</f>
        <v/>
      </c>
      <c r="I9" s="11" t="str">
        <f>IFERROR(Tabela511[[#This Row],[Preço Unitário]]*Tabela511[[#This Row],[Quantidade]],"")</f>
        <v/>
      </c>
      <c r="J9" s="15"/>
      <c r="L9" s="11" t="str">
        <f>IFERROR(IF(Tabela511[[#This Row],[Entrega]]=K10,"",VLOOKUP(Tabela511[[#This Row],[Entrega]],cálculos!$A$3:$B$7,2,0)),"")</f>
        <v/>
      </c>
      <c r="M9" s="12" t="str">
        <f>IFERROR(SUM(Tabela511[[#This Row],[Subtotal]]*(1-Tabela511[[#This Row],[Desconto]]),Tabela511[[#This Row],[Valor de Entrega]]),"")</f>
        <v/>
      </c>
      <c r="N9" s="29" t="str">
        <f>IFERROR(IF(Tabela511[[#This Row],[Id da Venda]]=C10,"",SUMIF(Tabela511[Id da Venda],Tabela511[[#This Row],[Id da Venda]],Tabela511[Total])),"")</f>
        <v/>
      </c>
    </row>
    <row r="10" spans="3:14" x14ac:dyDescent="0.3">
      <c r="D10" s="26"/>
      <c r="F10" s="25" t="str">
        <f>IFERROR(VLOOKUP(Tabela511[[#This Row],[Produto]],cálculos!$H$3:$K$26,4,0),"")</f>
        <v/>
      </c>
      <c r="H10" s="11" t="str">
        <f>IFERROR(VLOOKUP(Tabela511[[#This Row],[Produto]],cálculos!$H$3:$K$26,3,0),"")</f>
        <v/>
      </c>
      <c r="I10" s="11" t="str">
        <f>IFERROR(Tabela511[[#This Row],[Preço Unitário]]*Tabela511[[#This Row],[Quantidade]],"")</f>
        <v/>
      </c>
      <c r="J10" s="15"/>
      <c r="L10" s="11" t="str">
        <f>IFERROR(IF(Tabela511[[#This Row],[Entrega]]=K11,"",VLOOKUP(Tabela511[[#This Row],[Entrega]],cálculos!$A$3:$B$7,2,0)),"")</f>
        <v/>
      </c>
      <c r="M10" s="12" t="str">
        <f>IFERROR(SUM(Tabela511[[#This Row],[Subtotal]]*(1-Tabela511[[#This Row],[Desconto]]),Tabela511[[#This Row],[Valor de Entrega]]),"")</f>
        <v/>
      </c>
      <c r="N10" s="29" t="str">
        <f>IFERROR(IF(Tabela511[[#This Row],[Id da Venda]]=C11,"",SUMIF(Tabela511[Id da Venda],Tabela511[[#This Row],[Id da Venda]],Tabela511[Total])),"")</f>
        <v/>
      </c>
    </row>
    <row r="11" spans="3:14" x14ac:dyDescent="0.3">
      <c r="D11" s="26"/>
      <c r="F11" s="25" t="str">
        <f>IFERROR(VLOOKUP(Tabela511[[#This Row],[Produto]],cálculos!$H$3:$K$26,4,0),"")</f>
        <v/>
      </c>
      <c r="H11" s="11" t="str">
        <f>IFERROR(VLOOKUP(Tabela511[[#This Row],[Produto]],cálculos!$H$3:$K$26,3,0),"")</f>
        <v/>
      </c>
      <c r="I11" s="11" t="str">
        <f>IFERROR(Tabela511[[#This Row],[Preço Unitário]]*Tabela511[[#This Row],[Quantidade]],"")</f>
        <v/>
      </c>
      <c r="J11" s="15"/>
      <c r="L11" s="11" t="str">
        <f>IFERROR(IF(Tabela511[[#This Row],[Entrega]]=K12,"",VLOOKUP(Tabela511[[#This Row],[Entrega]],cálculos!$A$3:$B$7,2,0)),"")</f>
        <v/>
      </c>
      <c r="M11" s="12" t="str">
        <f>IFERROR(SUM(Tabela511[[#This Row],[Subtotal]]*(1-Tabela511[[#This Row],[Desconto]]),Tabela511[[#This Row],[Valor de Entrega]]),"")</f>
        <v/>
      </c>
      <c r="N11" s="29" t="str">
        <f>IFERROR(IF(Tabela511[[#This Row],[Id da Venda]]=C12,"",SUMIF(Tabela511[Id da Venda],Tabela511[[#This Row],[Id da Venda]],Tabela511[Total])),"")</f>
        <v/>
      </c>
    </row>
    <row r="12" spans="3:14" x14ac:dyDescent="0.3">
      <c r="D12" s="26"/>
      <c r="F12" s="25" t="str">
        <f>IFERROR(VLOOKUP(Tabela511[[#This Row],[Produto]],cálculos!$H$3:$K$26,4,0),"")</f>
        <v/>
      </c>
      <c r="H12" s="11" t="str">
        <f>IFERROR(VLOOKUP(Tabela511[[#This Row],[Produto]],cálculos!$H$3:$K$26,3,0),"")</f>
        <v/>
      </c>
      <c r="I12" s="11" t="str">
        <f>IFERROR(Tabela511[[#This Row],[Preço Unitário]]*Tabela511[[#This Row],[Quantidade]],"")</f>
        <v/>
      </c>
      <c r="J12" s="15"/>
      <c r="L12" s="11" t="str">
        <f>IFERROR(IF(Tabela511[[#This Row],[Entrega]]=K13,"",VLOOKUP(Tabela511[[#This Row],[Entrega]],cálculos!$A$3:$B$7,2,0)),"")</f>
        <v/>
      </c>
      <c r="M12" s="12" t="str">
        <f>IFERROR(SUM(Tabela511[[#This Row],[Subtotal]]*(1-Tabela511[[#This Row],[Desconto]]),Tabela511[[#This Row],[Valor de Entrega]]),"")</f>
        <v/>
      </c>
      <c r="N12" s="29" t="str">
        <f>IFERROR(IF(Tabela511[[#This Row],[Id da Venda]]=C13,"",SUMIF(Tabela511[Id da Venda],Tabela511[[#This Row],[Id da Venda]],Tabela511[Total])),"")</f>
        <v/>
      </c>
    </row>
    <row r="13" spans="3:14" x14ac:dyDescent="0.3">
      <c r="D13" s="26"/>
      <c r="F13" s="25" t="str">
        <f>IFERROR(VLOOKUP(Tabela511[[#This Row],[Produto]],cálculos!$H$3:$K$26,4,0),"")</f>
        <v/>
      </c>
      <c r="H13" s="11" t="str">
        <f>IFERROR(VLOOKUP(Tabela511[[#This Row],[Produto]],cálculos!$H$3:$K$26,3,0),"")</f>
        <v/>
      </c>
      <c r="I13" s="11" t="str">
        <f>IFERROR(Tabela511[[#This Row],[Preço Unitário]]*Tabela511[[#This Row],[Quantidade]],"")</f>
        <v/>
      </c>
      <c r="J13" s="15"/>
      <c r="L13" s="11" t="str">
        <f>IFERROR(IF(Tabela511[[#This Row],[Entrega]]=K14,"",VLOOKUP(Tabela511[[#This Row],[Entrega]],cálculos!$A$3:$B$7,2,0)),"")</f>
        <v/>
      </c>
      <c r="M13" s="12" t="str">
        <f>IFERROR(SUM(Tabela511[[#This Row],[Subtotal]]*(1-Tabela511[[#This Row],[Desconto]]),Tabela511[[#This Row],[Valor de Entrega]]),"")</f>
        <v/>
      </c>
      <c r="N13" s="29" t="str">
        <f>IFERROR(IF(Tabela511[[#This Row],[Id da Venda]]=C14,"",SUMIF(Tabela511[Id da Venda],Tabela511[[#This Row],[Id da Venda]],Tabela511[Total])),"")</f>
        <v/>
      </c>
    </row>
    <row r="14" spans="3:14" x14ac:dyDescent="0.3">
      <c r="D14" s="26"/>
      <c r="F14" s="25" t="str">
        <f>IFERROR(VLOOKUP(Tabela511[[#This Row],[Produto]],cálculos!$H$3:$K$26,4,0),"")</f>
        <v/>
      </c>
      <c r="H14" s="11" t="str">
        <f>IFERROR(VLOOKUP(Tabela511[[#This Row],[Produto]],cálculos!$H$3:$K$26,3,0),"")</f>
        <v/>
      </c>
      <c r="I14" s="11" t="str">
        <f>IFERROR(Tabela511[[#This Row],[Preço Unitário]]*Tabela511[[#This Row],[Quantidade]],"")</f>
        <v/>
      </c>
      <c r="J14" s="15"/>
      <c r="L14" s="11" t="str">
        <f>IFERROR(IF(Tabela511[[#This Row],[Entrega]]=K15,"",VLOOKUP(Tabela511[[#This Row],[Entrega]],cálculos!$A$3:$B$7,2,0)),"")</f>
        <v/>
      </c>
      <c r="M14" s="12" t="str">
        <f>IFERROR(SUM(Tabela511[[#This Row],[Subtotal]]*(1-Tabela511[[#This Row],[Desconto]]),Tabela511[[#This Row],[Valor de Entrega]]),"")</f>
        <v/>
      </c>
      <c r="N14" s="29" t="str">
        <f>IFERROR(IF(Tabela511[[#This Row],[Id da Venda]]=C15,"",SUMIF(Tabela511[Id da Venda],Tabela511[[#This Row],[Id da Venda]],Tabela511[Total])),"")</f>
        <v/>
      </c>
    </row>
    <row r="15" spans="3:14" x14ac:dyDescent="0.3">
      <c r="D15" s="26"/>
      <c r="F15" s="25" t="str">
        <f>IFERROR(VLOOKUP(Tabela511[[#This Row],[Produto]],cálculos!$H$3:$K$26,4,0),"")</f>
        <v/>
      </c>
      <c r="H15" s="11" t="str">
        <f>IFERROR(VLOOKUP(Tabela511[[#This Row],[Produto]],cálculos!$H$3:$K$26,3,0),"")</f>
        <v/>
      </c>
      <c r="I15" s="11" t="str">
        <f>IFERROR(Tabela511[[#This Row],[Preço Unitário]]*Tabela511[[#This Row],[Quantidade]],"")</f>
        <v/>
      </c>
      <c r="J15" s="15"/>
      <c r="L15" s="11" t="str">
        <f>IFERROR(IF(Tabela511[[#This Row],[Entrega]]=K16,"",VLOOKUP(Tabela511[[#This Row],[Entrega]],cálculos!$A$3:$B$7,2,0)),"")</f>
        <v/>
      </c>
      <c r="M15" s="12" t="str">
        <f>IFERROR(SUM(Tabela511[[#This Row],[Subtotal]]*(1-Tabela511[[#This Row],[Desconto]]),Tabela511[[#This Row],[Valor de Entrega]]),"")</f>
        <v/>
      </c>
      <c r="N15" s="29" t="str">
        <f>IFERROR(IF(Tabela511[[#This Row],[Id da Venda]]=C16,"",SUMIF(Tabela511[Id da Venda],Tabela511[[#This Row],[Id da Venda]],Tabela511[Total])),"")</f>
        <v/>
      </c>
    </row>
    <row r="16" spans="3:14" x14ac:dyDescent="0.3">
      <c r="D16" s="26"/>
      <c r="F16" s="25" t="str">
        <f>IFERROR(VLOOKUP(Tabela511[[#This Row],[Produto]],cálculos!$H$3:$K$26,4,0),"")</f>
        <v/>
      </c>
      <c r="H16" s="11" t="str">
        <f>IFERROR(VLOOKUP(Tabela511[[#This Row],[Produto]],cálculos!$H$3:$K$26,3,0),"")</f>
        <v/>
      </c>
      <c r="I16" s="11" t="str">
        <f>IFERROR(Tabela511[[#This Row],[Preço Unitário]]*Tabela511[[#This Row],[Quantidade]],"")</f>
        <v/>
      </c>
      <c r="J16" s="15"/>
      <c r="L16" s="11" t="str">
        <f>IFERROR(IF(Tabela511[[#This Row],[Entrega]]=K17,"",VLOOKUP(Tabela511[[#This Row],[Entrega]],cálculos!$A$3:$B$7,2,0)),"")</f>
        <v/>
      </c>
      <c r="M16" s="12" t="str">
        <f>IFERROR(SUM(Tabela511[[#This Row],[Subtotal]]*(1-Tabela511[[#This Row],[Desconto]]),Tabela511[[#This Row],[Valor de Entrega]]),"")</f>
        <v/>
      </c>
      <c r="N16" s="29" t="str">
        <f>IFERROR(IF(Tabela511[[#This Row],[Id da Venda]]=C17,"",SUMIF(Tabela511[Id da Venda],Tabela511[[#This Row],[Id da Venda]],Tabela511[Total])),"")</f>
        <v/>
      </c>
    </row>
    <row r="17" spans="3:14" x14ac:dyDescent="0.3">
      <c r="D17" s="26"/>
      <c r="F17" s="25" t="str">
        <f>IFERROR(VLOOKUP(Tabela511[[#This Row],[Produto]],cálculos!$H$3:$K$26,4,0),"")</f>
        <v/>
      </c>
      <c r="H17" s="11" t="str">
        <f>IFERROR(VLOOKUP(Tabela511[[#This Row],[Produto]],cálculos!$H$3:$K$26,3,0),"")</f>
        <v/>
      </c>
      <c r="I17" s="11" t="str">
        <f>IFERROR(Tabela511[[#This Row],[Preço Unitário]]*Tabela511[[#This Row],[Quantidade]],"")</f>
        <v/>
      </c>
      <c r="J17" s="15"/>
      <c r="L17" s="11" t="str">
        <f>IFERROR(IF(Tabela511[[#This Row],[Entrega]]=K18,"",VLOOKUP(Tabela511[[#This Row],[Entrega]],cálculos!$A$3:$B$7,2,0)),"")</f>
        <v/>
      </c>
      <c r="M17" s="12" t="str">
        <f>IFERROR(SUM(Tabela511[[#This Row],[Subtotal]]*(1-Tabela511[[#This Row],[Desconto]]),Tabela511[[#This Row],[Valor de Entrega]]),"")</f>
        <v/>
      </c>
      <c r="N17" s="29" t="str">
        <f>IFERROR(IF(Tabela511[[#This Row],[Id da Venda]]=C18,"",SUMIF(Tabela511[Id da Venda],Tabela511[[#This Row],[Id da Venda]],Tabela511[Total])),"")</f>
        <v/>
      </c>
    </row>
    <row r="18" spans="3:14" x14ac:dyDescent="0.3">
      <c r="D18" s="26"/>
      <c r="F18" s="25" t="str">
        <f>IFERROR(VLOOKUP(Tabela511[[#This Row],[Produto]],cálculos!$H$3:$K$26,4,0),"")</f>
        <v/>
      </c>
      <c r="H18" s="11" t="str">
        <f>IFERROR(VLOOKUP(Tabela511[[#This Row],[Produto]],cálculos!$H$3:$K$26,3,0),"")</f>
        <v/>
      </c>
      <c r="I18" s="11" t="str">
        <f>IFERROR(Tabela511[[#This Row],[Preço Unitário]]*Tabela511[[#This Row],[Quantidade]],"")</f>
        <v/>
      </c>
      <c r="J18" s="15"/>
      <c r="L18" s="11" t="str">
        <f>IFERROR(IF(Tabela511[[#This Row],[Entrega]]=K19,"",VLOOKUP(Tabela511[[#This Row],[Entrega]],cálculos!$A$3:$B$7,2,0)),"")</f>
        <v/>
      </c>
      <c r="M18" s="12" t="str">
        <f>IFERROR(SUM(Tabela511[[#This Row],[Subtotal]]*(1-Tabela511[[#This Row],[Desconto]]),Tabela511[[#This Row],[Valor de Entrega]]),"")</f>
        <v/>
      </c>
      <c r="N18" s="29" t="str">
        <f>IFERROR(IF(Tabela511[[#This Row],[Id da Venda]]=C19,"",SUMIF(Tabela511[Id da Venda],Tabela511[[#This Row],[Id da Venda]],Tabela511[Total])),"")</f>
        <v/>
      </c>
    </row>
    <row r="19" spans="3:14" x14ac:dyDescent="0.3">
      <c r="D19" s="26"/>
      <c r="F19" s="27" t="str">
        <f>IFERROR(VLOOKUP(Tabela511[[#This Row],[Produto]],cálculos!$H$3:$K$26,4,0),"")</f>
        <v/>
      </c>
      <c r="H19" s="11" t="str">
        <f>IFERROR(VLOOKUP(Tabela511[[#This Row],[Produto]],cálculos!$H$3:$K$26,3,0),"")</f>
        <v/>
      </c>
      <c r="I19" s="11" t="str">
        <f>IFERROR(Tabela511[[#This Row],[Preço Unitário]]*Tabela511[[#This Row],[Quantidade]],"")</f>
        <v/>
      </c>
      <c r="J19" s="15"/>
      <c r="L19" s="11" t="str">
        <f>IFERROR(IF(Tabela511[[#This Row],[Entrega]]=K20,"",VLOOKUP(Tabela511[[#This Row],[Entrega]],cálculos!$A$3:$B$7,2,0)),"")</f>
        <v/>
      </c>
      <c r="M19" s="12" t="str">
        <f>IFERROR(SUM(Tabela511[[#This Row],[Subtotal]]*(1-Tabela511[[#This Row],[Desconto]]),Tabela511[[#This Row],[Valor de Entrega]]),"")</f>
        <v/>
      </c>
      <c r="N19" s="29" t="str">
        <f>IFERROR(IF(Tabela511[[#This Row],[Id da Venda]]=C20,"",SUMIF(Tabela511[Id da Venda],Tabela511[[#This Row],[Id da Venda]],Tabela511[Total])),"")</f>
        <v/>
      </c>
    </row>
    <row r="20" spans="3:14" x14ac:dyDescent="0.3">
      <c r="D20" s="26"/>
      <c r="F20" s="27" t="str">
        <f>IFERROR(VLOOKUP(Tabela511[[#This Row],[Produto]],cálculos!$H$3:$K$26,4,0),"")</f>
        <v/>
      </c>
      <c r="H20" s="11" t="str">
        <f>IFERROR(VLOOKUP(Tabela511[[#This Row],[Produto]],cálculos!$H$3:$K$26,3,0),"")</f>
        <v/>
      </c>
      <c r="I20" s="11" t="str">
        <f>IFERROR(Tabela511[[#This Row],[Preço Unitário]]*Tabela511[[#This Row],[Quantidade]],"")</f>
        <v/>
      </c>
      <c r="J20" s="15"/>
      <c r="L20" s="11" t="str">
        <f>IFERROR(IF(Tabela511[[#This Row],[Entrega]]=K21,"",VLOOKUP(Tabela511[[#This Row],[Entrega]],cálculos!$A$3:$B$7,2,0)),"")</f>
        <v/>
      </c>
      <c r="M20" s="12" t="str">
        <f>IFERROR(SUM(Tabela511[[#This Row],[Subtotal]]*(1-Tabela511[[#This Row],[Desconto]]),Tabela511[[#This Row],[Valor de Entrega]]),"")</f>
        <v/>
      </c>
      <c r="N20" s="29" t="str">
        <f>IFERROR(IF(Tabela511[[#This Row],[Id da Venda]]=C21,"",SUMIF(Tabela511[Id da Venda],Tabela511[[#This Row],[Id da Venda]],Tabela511[Total])),"")</f>
        <v/>
      </c>
    </row>
    <row r="21" spans="3:14" x14ac:dyDescent="0.3">
      <c r="D21" s="26"/>
      <c r="F21" s="27" t="str">
        <f>IFERROR(VLOOKUP(Tabela511[[#This Row],[Produto]],cálculos!$H$3:$K$26,4,0),"")</f>
        <v/>
      </c>
      <c r="H21" s="11" t="str">
        <f>IFERROR(VLOOKUP(Tabela511[[#This Row],[Produto]],cálculos!$H$3:$K$26,3,0),"")</f>
        <v/>
      </c>
      <c r="I21" s="11" t="str">
        <f>IFERROR(Tabela511[[#This Row],[Preço Unitário]]*Tabela511[[#This Row],[Quantidade]],"")</f>
        <v/>
      </c>
      <c r="J21" s="15"/>
      <c r="L21" s="11" t="str">
        <f>IFERROR(IF(Tabela511[[#This Row],[Entrega]]=K22,"",VLOOKUP(Tabela511[[#This Row],[Entrega]],cálculos!$A$3:$B$7,2,0)),"")</f>
        <v/>
      </c>
      <c r="M21" s="12" t="str">
        <f>IFERROR(SUM(Tabela511[[#This Row],[Subtotal]]*(1-Tabela511[[#This Row],[Desconto]]),Tabela511[[#This Row],[Valor de Entrega]]),"")</f>
        <v/>
      </c>
      <c r="N21" s="29" t="str">
        <f>IFERROR(IF(Tabela511[[#This Row],[Id da Venda]]=C22,"",SUMIF(Tabela511[Id da Venda],Tabela511[[#This Row],[Id da Venda]],Tabela511[Total])),"")</f>
        <v/>
      </c>
    </row>
    <row r="22" spans="3:14" x14ac:dyDescent="0.3">
      <c r="D22" s="26"/>
      <c r="F22" s="27" t="str">
        <f>IFERROR(VLOOKUP(Tabela511[[#This Row],[Produto]],cálculos!$H$3:$K$26,4,0),"")</f>
        <v/>
      </c>
      <c r="H22" s="11" t="str">
        <f>IFERROR(VLOOKUP(Tabela511[[#This Row],[Produto]],cálculos!$H$3:$K$26,3,0),"")</f>
        <v/>
      </c>
      <c r="I22" s="11" t="str">
        <f>IFERROR(Tabela511[[#This Row],[Preço Unitário]]*Tabela511[[#This Row],[Quantidade]],"")</f>
        <v/>
      </c>
      <c r="J22" s="15"/>
      <c r="L22" s="11" t="str">
        <f>IFERROR(IF(Tabela511[[#This Row],[Entrega]]=K23,"",VLOOKUP(Tabela511[[#This Row],[Entrega]],cálculos!$A$3:$B$7,2,0)),"")</f>
        <v/>
      </c>
      <c r="M22" s="12" t="str">
        <f>IFERROR(SUM(Tabela511[[#This Row],[Subtotal]]*(1-Tabela511[[#This Row],[Desconto]]),Tabela511[[#This Row],[Valor de Entrega]]),"")</f>
        <v/>
      </c>
      <c r="N22" s="29" t="str">
        <f>IFERROR(IF(Tabela511[[#This Row],[Id da Venda]]=C23,"",SUMIF(Tabela511[Id da Venda],Tabela511[[#This Row],[Id da Venda]],Tabela511[Total])),"")</f>
        <v/>
      </c>
    </row>
    <row r="23" spans="3:14" x14ac:dyDescent="0.3">
      <c r="D23" s="26"/>
      <c r="F23" s="27" t="str">
        <f>IFERROR(VLOOKUP(Tabela511[[#This Row],[Produto]],cálculos!$H$3:$K$26,4,0),"")</f>
        <v/>
      </c>
      <c r="H23" s="11" t="str">
        <f>IFERROR(VLOOKUP(Tabela511[[#This Row],[Produto]],cálculos!$H$3:$K$26,3,0),"")</f>
        <v/>
      </c>
      <c r="I23" s="11" t="str">
        <f>IFERROR(Tabela511[[#This Row],[Preço Unitário]]*Tabela511[[#This Row],[Quantidade]],"")</f>
        <v/>
      </c>
      <c r="J23" s="15"/>
      <c r="L23" s="11" t="str">
        <f>IFERROR(IF(Tabela511[[#This Row],[Entrega]]=K24,"",VLOOKUP(Tabela511[[#This Row],[Entrega]],cálculos!$A$3:$B$7,2,0)),"")</f>
        <v/>
      </c>
      <c r="M23" s="12" t="str">
        <f>IFERROR(SUM(Tabela511[[#This Row],[Subtotal]]*(1-Tabela511[[#This Row],[Desconto]]),Tabela511[[#This Row],[Valor de Entrega]]),"")</f>
        <v/>
      </c>
      <c r="N23" s="29" t="str">
        <f>IFERROR(IF(Tabela511[[#This Row],[Id da Venda]]=C24,"",SUMIF(Tabela511[Id da Venda],Tabela511[[#This Row],[Id da Venda]],Tabela511[Total])),"")</f>
        <v/>
      </c>
    </row>
    <row r="24" spans="3:14" x14ac:dyDescent="0.3">
      <c r="D24" s="26"/>
      <c r="F24" s="27" t="str">
        <f>IFERROR(VLOOKUP(Tabela511[[#This Row],[Produto]],cálculos!$H$3:$K$26,4,0),"")</f>
        <v/>
      </c>
      <c r="H24" s="11" t="str">
        <f>IFERROR(VLOOKUP(Tabela511[[#This Row],[Produto]],cálculos!$H$3:$K$26,3,0),"")</f>
        <v/>
      </c>
      <c r="I24" s="11" t="str">
        <f>IFERROR(Tabela511[[#This Row],[Preço Unitário]]*Tabela511[[#This Row],[Quantidade]],"")</f>
        <v/>
      </c>
      <c r="J24" s="15"/>
      <c r="L24" s="11" t="str">
        <f>IFERROR(IF(Tabela511[[#This Row],[Entrega]]=K25,"",VLOOKUP(Tabela511[[#This Row],[Entrega]],cálculos!$A$3:$B$7,2,0)),"")</f>
        <v/>
      </c>
      <c r="M24" s="12" t="str">
        <f>IFERROR(SUM(Tabela511[[#This Row],[Subtotal]]*(1-Tabela511[[#This Row],[Desconto]]),Tabela511[[#This Row],[Valor de Entrega]]),"")</f>
        <v/>
      </c>
      <c r="N24" s="29" t="str">
        <f>IFERROR(IF(Tabela511[[#This Row],[Id da Venda]]=C25,"",SUMIF(Tabela511[Id da Venda],Tabela511[[#This Row],[Id da Venda]],Tabela511[Total])),"")</f>
        <v/>
      </c>
    </row>
    <row r="25" spans="3:14" x14ac:dyDescent="0.3">
      <c r="D25" s="26"/>
      <c r="F25" s="27" t="str">
        <f>IFERROR(VLOOKUP(Tabela511[[#This Row],[Produto]],cálculos!$H$3:$K$26,4,0),"")</f>
        <v/>
      </c>
      <c r="H25" s="11" t="str">
        <f>IFERROR(VLOOKUP(Tabela511[[#This Row],[Produto]],cálculos!$H$3:$K$26,3,0),"")</f>
        <v/>
      </c>
      <c r="I25" s="11" t="str">
        <f>IFERROR(Tabela511[[#This Row],[Preço Unitário]]*Tabela511[[#This Row],[Quantidade]],"")</f>
        <v/>
      </c>
      <c r="J25" s="15"/>
      <c r="L25" s="11" t="str">
        <f>IFERROR(IF(Tabela511[[#This Row],[Entrega]]=K26,"",VLOOKUP(Tabela511[[#This Row],[Entrega]],cálculos!$A$3:$B$7,2,0)),"")</f>
        <v/>
      </c>
      <c r="M25" s="12" t="str">
        <f>IFERROR(SUM(Tabela511[[#This Row],[Subtotal]]*(1-Tabela511[[#This Row],[Desconto]]),Tabela511[[#This Row],[Valor de Entrega]]),"")</f>
        <v/>
      </c>
      <c r="N25" s="29" t="str">
        <f>IFERROR(IF(Tabela511[[#This Row],[Id da Venda]]=C26,"",SUMIF(Tabela511[Id da Venda],Tabela511[[#This Row],[Id da Venda]],Tabela511[Total])),"")</f>
        <v/>
      </c>
    </row>
    <row r="26" spans="3:14" x14ac:dyDescent="0.3">
      <c r="D26" s="26"/>
      <c r="F26" s="27" t="str">
        <f>IFERROR(VLOOKUP(Tabela511[[#This Row],[Produto]],cálculos!$H$3:$K$26,4,0),"")</f>
        <v/>
      </c>
      <c r="H26" s="11" t="str">
        <f>IFERROR(VLOOKUP(Tabela511[[#This Row],[Produto]],cálculos!$H$3:$K$26,3,0),"")</f>
        <v/>
      </c>
      <c r="I26" s="11" t="str">
        <f>IFERROR(Tabela511[[#This Row],[Preço Unitário]]*Tabela511[[#This Row],[Quantidade]],"")</f>
        <v/>
      </c>
      <c r="J26" s="15"/>
      <c r="L26" s="11" t="str">
        <f>IFERROR(IF(Tabela511[[#This Row],[Entrega]]=K27,"",VLOOKUP(Tabela511[[#This Row],[Entrega]],cálculos!$A$3:$B$7,2,0)),"")</f>
        <v/>
      </c>
      <c r="M26" s="12" t="str">
        <f>IFERROR(SUM(Tabela511[[#This Row],[Subtotal]]*(1-Tabela511[[#This Row],[Desconto]]),Tabela511[[#This Row],[Valor de Entrega]]),"")</f>
        <v/>
      </c>
      <c r="N26" s="29" t="str">
        <f>IFERROR(IF(Tabela511[[#This Row],[Id da Venda]]=C27,"",SUMIF(Tabela511[Id da Venda],Tabela511[[#This Row],[Id da Venda]],Tabela511[Total])),"")</f>
        <v/>
      </c>
    </row>
    <row r="27" spans="3:14" x14ac:dyDescent="0.3">
      <c r="D27" s="26"/>
      <c r="F27" s="27" t="str">
        <f>IFERROR(VLOOKUP(Tabela511[[#This Row],[Produto]],cálculos!$H$3:$K$26,4,0),"")</f>
        <v/>
      </c>
      <c r="H27" s="11" t="str">
        <f>IFERROR(VLOOKUP(Tabela511[[#This Row],[Produto]],cálculos!$H$3:$K$26,3,0),"")</f>
        <v/>
      </c>
      <c r="I27" s="11" t="str">
        <f>IFERROR(Tabela511[[#This Row],[Preço Unitário]]*Tabela511[[#This Row],[Quantidade]],"")</f>
        <v/>
      </c>
      <c r="J27" s="15"/>
      <c r="L27" s="11" t="str">
        <f>IFERROR(IF(Tabela511[[#This Row],[Entrega]]=K28,"",VLOOKUP(Tabela511[[#This Row],[Entrega]],cálculos!$A$3:$B$7,2,0)),"")</f>
        <v/>
      </c>
      <c r="M27" s="12" t="str">
        <f>IFERROR(SUM(Tabela511[[#This Row],[Subtotal]]*(1-Tabela511[[#This Row],[Desconto]]),Tabela511[[#This Row],[Valor de Entrega]]),"")</f>
        <v/>
      </c>
      <c r="N27" s="29" t="str">
        <f>IFERROR(IF(Tabela511[[#This Row],[Id da Venda]]=C28,"",SUMIF(Tabela511[Id da Venda],Tabela511[[#This Row],[Id da Venda]],Tabela511[Total])),"")</f>
        <v/>
      </c>
    </row>
    <row r="28" spans="3:14" x14ac:dyDescent="0.3">
      <c r="D28" s="26"/>
      <c r="F28" s="27" t="str">
        <f>IFERROR(VLOOKUP(Tabela511[[#This Row],[Produto]],cálculos!$H$3:$K$26,4,0),"")</f>
        <v/>
      </c>
      <c r="H28" s="11" t="str">
        <f>IFERROR(VLOOKUP(Tabela511[[#This Row],[Produto]],cálculos!$H$3:$K$26,3,0),"")</f>
        <v/>
      </c>
      <c r="I28" s="11" t="str">
        <f>IFERROR(Tabela511[[#This Row],[Preço Unitário]]*Tabela511[[#This Row],[Quantidade]],"")</f>
        <v/>
      </c>
      <c r="J28" s="15"/>
      <c r="L28" s="11" t="str">
        <f>IFERROR(IF(Tabela511[[#This Row],[Entrega]]=K29,"",VLOOKUP(Tabela511[[#This Row],[Entrega]],cálculos!$A$3:$B$7,2,0)),"")</f>
        <v/>
      </c>
      <c r="M28" s="12" t="str">
        <f>IFERROR(SUM(Tabela511[[#This Row],[Subtotal]]*(1-Tabela511[[#This Row],[Desconto]]),Tabela511[[#This Row],[Valor de Entrega]]),"")</f>
        <v/>
      </c>
      <c r="N28" s="29" t="str">
        <f>IFERROR(IF(Tabela511[[#This Row],[Id da Venda]]=C29,"",SUMIF(Tabela511[Id da Venda],Tabela511[[#This Row],[Id da Venda]],Tabela511[Total])),"")</f>
        <v/>
      </c>
    </row>
    <row r="29" spans="3:14" x14ac:dyDescent="0.3">
      <c r="D29" s="26"/>
      <c r="F29" s="27" t="str">
        <f>IFERROR(VLOOKUP(Tabela511[[#This Row],[Produto]],cálculos!$H$3:$K$26,4,0),"")</f>
        <v/>
      </c>
      <c r="H29" s="11" t="str">
        <f>IFERROR(VLOOKUP(Tabela511[[#This Row],[Produto]],cálculos!$H$3:$K$26,3,0),"")</f>
        <v/>
      </c>
      <c r="I29" s="11" t="str">
        <f>IFERROR(Tabela511[[#This Row],[Preço Unitário]]*Tabela511[[#This Row],[Quantidade]],"")</f>
        <v/>
      </c>
      <c r="J29" s="15"/>
      <c r="L29" s="11" t="str">
        <f>IFERROR(IF(Tabela511[[#This Row],[Entrega]]=K30,"",VLOOKUP(Tabela511[[#This Row],[Entrega]],cálculos!$A$3:$B$7,2,0)),"")</f>
        <v/>
      </c>
      <c r="M29" s="12" t="str">
        <f>IFERROR(SUM(Tabela511[[#This Row],[Subtotal]]*(1-Tabela511[[#This Row],[Desconto]]),Tabela511[[#This Row],[Valor de Entrega]]),"")</f>
        <v/>
      </c>
      <c r="N29" s="29" t="str">
        <f>IFERROR(IF(Tabela511[[#This Row],[Id da Venda]]=C30,"",SUMIF(Tabela511[Id da Venda],Tabela511[[#This Row],[Id da Venda]],Tabela511[Total])),"")</f>
        <v/>
      </c>
    </row>
    <row r="30" spans="3:14" x14ac:dyDescent="0.3">
      <c r="D30" s="26"/>
      <c r="F30" s="27" t="str">
        <f>IFERROR(VLOOKUP(Tabela511[[#This Row],[Produto]],cálculos!$H$3:$K$26,4,0),"")</f>
        <v/>
      </c>
      <c r="H30" s="11" t="str">
        <f>IFERROR(VLOOKUP(Tabela511[[#This Row],[Produto]],cálculos!$H$3:$K$26,3,0),"")</f>
        <v/>
      </c>
      <c r="I30" s="11" t="str">
        <f>IFERROR(Tabela511[[#This Row],[Preço Unitário]]*Tabela511[[#This Row],[Quantidade]],"")</f>
        <v/>
      </c>
      <c r="J30" s="15"/>
      <c r="L30" s="11" t="str">
        <f>IFERROR(IF(Tabela511[[#This Row],[Entrega]]=K31,"",VLOOKUP(Tabela511[[#This Row],[Entrega]],cálculos!$A$3:$B$7,2,0)),"")</f>
        <v/>
      </c>
      <c r="M30" s="12" t="str">
        <f>IFERROR(SUM(Tabela511[[#This Row],[Subtotal]]*(1-Tabela511[[#This Row],[Desconto]]),Tabela511[[#This Row],[Valor de Entrega]]),"")</f>
        <v/>
      </c>
      <c r="N30" s="29">
        <f>IFERROR(IF(Tabela511[[#This Row],[Id da Venda]]=C31,"",SUMIF(Tabela511[Id da Venda],Tabela511[[#This Row],[Id da Venda]],Tabela511[Total])),"")</f>
        <v>0</v>
      </c>
    </row>
    <row r="31" spans="3:14" x14ac:dyDescent="0.3">
      <c r="C31" s="25" t="s">
        <v>54</v>
      </c>
      <c r="H31" s="27"/>
      <c r="I31" s="27"/>
      <c r="J31" s="27"/>
      <c r="L31" s="12">
        <f>SUBTOTAL(109,Tabela511[Valor de Entrega])</f>
        <v>8</v>
      </c>
      <c r="N31" s="29">
        <f>SUBTOTAL(109,Tabela511[Total para o Cliente])</f>
        <v>62.9</v>
      </c>
    </row>
    <row r="32" spans="3:14" ht="15" thickBot="1" x14ac:dyDescent="0.35"/>
    <row r="33" spans="3:14" ht="19.2" thickTop="1" thickBot="1" x14ac:dyDescent="0.4">
      <c r="C33" s="65" t="s">
        <v>130</v>
      </c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5" cm="1">
        <f t="array" ref="N33">SUM(IF(FREQUENCY(Tabela511[Id da Venda],Tabela511[Id da Venda])&gt;0,1,0))</f>
        <v>2</v>
      </c>
    </row>
    <row r="34" spans="3:14" ht="15" thickTop="1" x14ac:dyDescent="0.3"/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E0B7799-D38B-4179-9036-2C5D0E0A353C}">
          <x14:formula1>
            <xm:f>cálculos!$H$3:$H$26</xm:f>
          </x14:formula1>
          <xm:sqref>E5:E30</xm:sqref>
        </x14:dataValidation>
        <x14:dataValidation type="list" allowBlank="1" showInputMessage="1" showErrorMessage="1" xr:uid="{955E7BA4-8CD0-4221-90D9-31BF55B397C3}">
          <x14:formula1>
            <xm:f>cálculos!$A$3:$A$7</xm:f>
          </x14:formula1>
          <xm:sqref>K5:K30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18C0B-2F92-4DA8-A2E2-CAE8825E403E}">
  <dimension ref="A3:H30"/>
  <sheetViews>
    <sheetView showGridLines="0" workbookViewId="0">
      <selection activeCell="E3" sqref="E3"/>
    </sheetView>
  </sheetViews>
  <sheetFormatPr defaultRowHeight="14.4" x14ac:dyDescent="0.3"/>
  <cols>
    <col min="1" max="1" width="17.21875" style="25" bestFit="1" customWidth="1"/>
    <col min="2" max="2" width="18.88671875" style="25" bestFit="1" customWidth="1"/>
    <col min="3" max="3" width="13.109375" style="25" bestFit="1" customWidth="1"/>
    <col min="4" max="4" width="8.88671875" style="25"/>
    <col min="5" max="5" width="17.21875" style="25" bestFit="1" customWidth="1"/>
    <col min="6" max="6" width="18.88671875" style="25" bestFit="1" customWidth="1"/>
    <col min="7" max="7" width="23" style="25" bestFit="1" customWidth="1"/>
    <col min="8" max="8" width="13.109375" style="25" bestFit="1" customWidth="1"/>
    <col min="9" max="16384" width="8.88671875" style="25"/>
  </cols>
  <sheetData>
    <row r="3" spans="1:8" x14ac:dyDescent="0.3">
      <c r="A3" s="67" t="s">
        <v>147</v>
      </c>
      <c r="B3" s="25" t="s">
        <v>152</v>
      </c>
      <c r="C3" s="25" t="s">
        <v>149</v>
      </c>
      <c r="E3" s="67" t="s">
        <v>147</v>
      </c>
      <c r="F3" s="25" t="s">
        <v>152</v>
      </c>
      <c r="G3" s="25" t="s">
        <v>150</v>
      </c>
      <c r="H3" s="25" t="s">
        <v>149</v>
      </c>
    </row>
    <row r="4" spans="1:8" x14ac:dyDescent="0.3">
      <c r="A4" s="19">
        <v>42190</v>
      </c>
      <c r="B4" s="27">
        <v>1</v>
      </c>
      <c r="C4" s="12">
        <v>62.9</v>
      </c>
      <c r="E4" s="21" t="s">
        <v>75</v>
      </c>
      <c r="F4" s="27">
        <v>1</v>
      </c>
      <c r="G4" s="12">
        <v>8</v>
      </c>
      <c r="H4" s="12">
        <v>62.9</v>
      </c>
    </row>
    <row r="5" spans="1:8" x14ac:dyDescent="0.3">
      <c r="A5" s="68" t="s">
        <v>31</v>
      </c>
      <c r="B5" s="27">
        <v>1</v>
      </c>
      <c r="C5" s="12">
        <v>62.9</v>
      </c>
      <c r="E5" s="68" t="s">
        <v>31</v>
      </c>
      <c r="F5" s="27">
        <v>1</v>
      </c>
      <c r="G5" s="12">
        <v>8</v>
      </c>
      <c r="H5" s="12">
        <v>62.9</v>
      </c>
    </row>
    <row r="6" spans="1:8" x14ac:dyDescent="0.3">
      <c r="A6" s="19">
        <v>43802</v>
      </c>
      <c r="B6" s="27">
        <v>0</v>
      </c>
      <c r="C6" s="12">
        <v>0</v>
      </c>
      <c r="E6" s="21" t="s">
        <v>151</v>
      </c>
      <c r="F6" s="27">
        <v>0</v>
      </c>
      <c r="G6" s="12">
        <v>0</v>
      </c>
      <c r="H6" s="12">
        <v>0</v>
      </c>
    </row>
    <row r="7" spans="1:8" x14ac:dyDescent="0.3">
      <c r="A7" s="68" t="s">
        <v>29</v>
      </c>
      <c r="B7" s="27">
        <v>0</v>
      </c>
      <c r="C7" s="12">
        <v>0</v>
      </c>
      <c r="E7" s="68" t="s">
        <v>29</v>
      </c>
      <c r="F7" s="27">
        <v>0</v>
      </c>
      <c r="G7" s="12">
        <v>0</v>
      </c>
      <c r="H7" s="12">
        <v>0</v>
      </c>
    </row>
    <row r="8" spans="1:8" x14ac:dyDescent="0.3">
      <c r="A8" s="19" t="s">
        <v>151</v>
      </c>
      <c r="B8" s="27"/>
      <c r="C8" s="12">
        <v>0</v>
      </c>
      <c r="E8" s="68" t="s">
        <v>151</v>
      </c>
      <c r="F8" s="27"/>
      <c r="G8" s="12">
        <v>0</v>
      </c>
      <c r="H8" s="12">
        <v>0</v>
      </c>
    </row>
    <row r="9" spans="1:8" x14ac:dyDescent="0.3">
      <c r="A9" s="68" t="s">
        <v>151</v>
      </c>
      <c r="B9" s="27"/>
      <c r="C9" s="12">
        <v>0</v>
      </c>
      <c r="E9" s="21" t="s">
        <v>148</v>
      </c>
      <c r="F9" s="27">
        <v>1</v>
      </c>
      <c r="G9" s="12">
        <v>8</v>
      </c>
      <c r="H9" s="12">
        <v>62.9</v>
      </c>
    </row>
    <row r="10" spans="1:8" x14ac:dyDescent="0.3">
      <c r="A10" s="19" t="s">
        <v>148</v>
      </c>
      <c r="B10" s="27">
        <v>1</v>
      </c>
      <c r="C10" s="12">
        <v>62.9</v>
      </c>
      <c r="E10"/>
      <c r="F10"/>
      <c r="G10"/>
      <c r="H10"/>
    </row>
    <row r="11" spans="1:8" x14ac:dyDescent="0.3">
      <c r="A11"/>
      <c r="B11"/>
      <c r="C11"/>
      <c r="E11"/>
      <c r="F11"/>
      <c r="G11"/>
      <c r="H11"/>
    </row>
    <row r="12" spans="1:8" x14ac:dyDescent="0.3">
      <c r="A12"/>
      <c r="B12"/>
      <c r="C12"/>
      <c r="E12"/>
      <c r="F12"/>
      <c r="G12"/>
      <c r="H12"/>
    </row>
    <row r="13" spans="1:8" x14ac:dyDescent="0.3">
      <c r="A13"/>
      <c r="B13"/>
      <c r="C13"/>
      <c r="E13"/>
      <c r="F13"/>
      <c r="G13"/>
      <c r="H13"/>
    </row>
    <row r="14" spans="1:8" x14ac:dyDescent="0.3">
      <c r="A14"/>
      <c r="B14"/>
      <c r="C14"/>
      <c r="E14"/>
      <c r="F14"/>
      <c r="G14"/>
      <c r="H14"/>
    </row>
    <row r="15" spans="1:8" x14ac:dyDescent="0.3">
      <c r="A15"/>
      <c r="B15"/>
      <c r="C15"/>
      <c r="E15"/>
      <c r="F15"/>
      <c r="G15"/>
      <c r="H15"/>
    </row>
    <row r="16" spans="1:8" x14ac:dyDescent="0.3">
      <c r="A16"/>
      <c r="B16"/>
      <c r="C16"/>
      <c r="E16"/>
      <c r="F16"/>
      <c r="G16"/>
      <c r="H16"/>
    </row>
    <row r="17" spans="1:8" x14ac:dyDescent="0.3">
      <c r="A17"/>
      <c r="B17"/>
      <c r="C17"/>
      <c r="E17"/>
      <c r="F17"/>
      <c r="G17"/>
      <c r="H17"/>
    </row>
    <row r="18" spans="1:8" x14ac:dyDescent="0.3">
      <c r="A18"/>
      <c r="B18"/>
      <c r="C18"/>
      <c r="E18"/>
      <c r="F18"/>
      <c r="G18"/>
      <c r="H18"/>
    </row>
    <row r="19" spans="1:8" x14ac:dyDescent="0.3">
      <c r="A19"/>
      <c r="B19"/>
      <c r="C19"/>
      <c r="E19"/>
      <c r="F19"/>
      <c r="G19"/>
      <c r="H19"/>
    </row>
    <row r="20" spans="1:8" x14ac:dyDescent="0.3">
      <c r="A20"/>
      <c r="B20"/>
      <c r="C20"/>
      <c r="E20"/>
      <c r="F20"/>
      <c r="G20"/>
      <c r="H20"/>
    </row>
    <row r="21" spans="1:8" x14ac:dyDescent="0.3">
      <c r="A21"/>
      <c r="B21"/>
      <c r="C21"/>
      <c r="E21"/>
      <c r="F21"/>
      <c r="G21"/>
      <c r="H21"/>
    </row>
    <row r="22" spans="1:8" x14ac:dyDescent="0.3">
      <c r="A22"/>
      <c r="B22"/>
      <c r="C22"/>
      <c r="E22"/>
      <c r="F22"/>
      <c r="G22"/>
      <c r="H22"/>
    </row>
    <row r="23" spans="1:8" x14ac:dyDescent="0.3">
      <c r="A23"/>
      <c r="B23"/>
      <c r="C23"/>
      <c r="E23"/>
      <c r="F23"/>
      <c r="G23"/>
      <c r="H23"/>
    </row>
    <row r="24" spans="1:8" x14ac:dyDescent="0.3">
      <c r="A24"/>
      <c r="B24"/>
      <c r="C24"/>
      <c r="E24"/>
      <c r="F24"/>
      <c r="G24"/>
      <c r="H24"/>
    </row>
    <row r="25" spans="1:8" x14ac:dyDescent="0.3">
      <c r="A25"/>
      <c r="B25"/>
      <c r="C25"/>
      <c r="E25"/>
      <c r="F25"/>
      <c r="G25"/>
      <c r="H25"/>
    </row>
    <row r="26" spans="1:8" x14ac:dyDescent="0.3">
      <c r="A26"/>
      <c r="B26"/>
      <c r="C26"/>
      <c r="E26"/>
      <c r="F26"/>
      <c r="G26"/>
      <c r="H26"/>
    </row>
    <row r="27" spans="1:8" x14ac:dyDescent="0.3">
      <c r="A27"/>
      <c r="B27"/>
      <c r="C27"/>
      <c r="E27"/>
      <c r="F27"/>
      <c r="G27"/>
      <c r="H27"/>
    </row>
    <row r="28" spans="1:8" x14ac:dyDescent="0.3">
      <c r="A28"/>
      <c r="B28"/>
      <c r="C28"/>
      <c r="E28"/>
      <c r="F28"/>
      <c r="G28"/>
      <c r="H28"/>
    </row>
    <row r="29" spans="1:8" x14ac:dyDescent="0.3">
      <c r="E29"/>
      <c r="F29"/>
      <c r="G29"/>
      <c r="H29"/>
    </row>
    <row r="30" spans="1:8" x14ac:dyDescent="0.3">
      <c r="E30"/>
      <c r="F30"/>
      <c r="G30"/>
      <c r="H30"/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BF83E-EFD0-4E87-AB73-B9FD9BEB8DAD}">
  <sheetPr codeName="Planilha10"/>
  <dimension ref="C2:N33"/>
  <sheetViews>
    <sheetView topLeftCell="A13" workbookViewId="0">
      <selection activeCell="C32" sqref="C32:N32"/>
    </sheetView>
  </sheetViews>
  <sheetFormatPr defaultRowHeight="14.4" x14ac:dyDescent="0.3"/>
  <cols>
    <col min="1" max="2" width="8.88671875" style="25"/>
    <col min="3" max="3" width="12.44140625" style="25" customWidth="1"/>
    <col min="4" max="4" width="10.5546875" style="25" bestFit="1" customWidth="1"/>
    <col min="5" max="5" width="9.44140625" style="25" customWidth="1"/>
    <col min="6" max="6" width="9" style="25" customWidth="1"/>
    <col min="7" max="7" width="12.33203125" style="25" customWidth="1"/>
    <col min="8" max="8" width="14.6640625" style="25" customWidth="1"/>
    <col min="9" max="9" width="10.33203125" style="25" bestFit="1" customWidth="1"/>
    <col min="10" max="10" width="10.6640625" style="25" customWidth="1"/>
    <col min="11" max="11" width="9.109375" style="25" customWidth="1"/>
    <col min="12" max="12" width="16.33203125" style="25" customWidth="1"/>
    <col min="13" max="13" width="10.33203125" style="25" bestFit="1" customWidth="1"/>
    <col min="14" max="14" width="18.88671875" style="25" customWidth="1"/>
    <col min="15" max="16384" width="8.88671875" style="25"/>
  </cols>
  <sheetData>
    <row r="2" spans="3:14" s="28" customFormat="1" ht="28.05" customHeight="1" x14ac:dyDescent="0.3">
      <c r="C2" s="28" t="s">
        <v>118</v>
      </c>
    </row>
    <row r="3" spans="3:14" ht="24.6" customHeight="1" x14ac:dyDescent="0.3"/>
    <row r="4" spans="3:14" x14ac:dyDescent="0.3">
      <c r="C4" s="25" t="s">
        <v>111</v>
      </c>
      <c r="D4" s="25" t="s">
        <v>42</v>
      </c>
      <c r="E4" s="25" t="s">
        <v>105</v>
      </c>
      <c r="F4" s="25" t="s">
        <v>68</v>
      </c>
      <c r="G4" s="25" t="s">
        <v>62</v>
      </c>
      <c r="H4" s="25" t="s">
        <v>59</v>
      </c>
      <c r="I4" s="25" t="s">
        <v>112</v>
      </c>
      <c r="J4" s="25" t="s">
        <v>60</v>
      </c>
      <c r="K4" s="25" t="s">
        <v>113</v>
      </c>
      <c r="L4" s="25" t="s">
        <v>114</v>
      </c>
      <c r="M4" s="25" t="s">
        <v>54</v>
      </c>
      <c r="N4" s="25" t="s">
        <v>115</v>
      </c>
    </row>
    <row r="5" spans="3:14" x14ac:dyDescent="0.3">
      <c r="D5" s="26"/>
      <c r="F5" s="27" t="str">
        <f>IFERROR(VLOOKUP(Tabela51112[[#This Row],[Produto]],cálculos!$H$3:$K$26,4,0),"")</f>
        <v/>
      </c>
      <c r="H5" s="11" t="str">
        <f>IFERROR(VLOOKUP(Tabela51112[[#This Row],[Produto]],cálculos!$H$3:$K$26,3,0),"")</f>
        <v/>
      </c>
      <c r="I5" s="11" t="str">
        <f>IFERROR(Tabela51112[[#This Row],[Preço Unitário]]*Tabela51112[[#This Row],[Quantidade]],"")</f>
        <v/>
      </c>
      <c r="J5" s="15"/>
      <c r="L5" s="11" t="str">
        <f>IFERROR(IF(Tabela51112[[#This Row],[Entrega]]=K6,"",VLOOKUP(Tabela51112[[#This Row],[Entrega]],cálculos!$A$3:$B$7,2,0)),"")</f>
        <v/>
      </c>
      <c r="M5" s="12" t="str">
        <f>IFERROR(SUM(Tabela51112[[#This Row],[Subtotal]]*(1-Tabela51112[[#This Row],[Desconto]]),Tabela51112[[#This Row],[Valor de Entrega]]),"")</f>
        <v/>
      </c>
      <c r="N5" s="29" t="str">
        <f>IFERROR(IF(Tabela51112[[#This Row],[Id da Venda]]=C6,"",SUMIF(Tabela51112[Id da Venda],Tabela51112[[#This Row],[Id da Venda]],Tabela51112[Total])),"")</f>
        <v/>
      </c>
    </row>
    <row r="6" spans="3:14" x14ac:dyDescent="0.3">
      <c r="D6" s="26"/>
      <c r="F6" s="25" t="str">
        <f>IFERROR(VLOOKUP(Tabela51112[[#This Row],[Produto]],cálculos!$H$3:$K$26,4,0),"")</f>
        <v/>
      </c>
      <c r="H6" s="11" t="str">
        <f>IFERROR(VLOOKUP(Tabela51112[[#This Row],[Produto]],cálculos!$H$3:$K$26,3,0),"")</f>
        <v/>
      </c>
      <c r="I6" s="11" t="str">
        <f>IFERROR(Tabela51112[[#This Row],[Preço Unitário]]*Tabela51112[[#This Row],[Quantidade]],"")</f>
        <v/>
      </c>
      <c r="J6" s="15"/>
      <c r="L6" s="11" t="str">
        <f>IFERROR(IF(Tabela51112[[#This Row],[Entrega]]=K7,"",VLOOKUP(Tabela51112[[#This Row],[Entrega]],cálculos!$A$3:$B$7,2,0)),"")</f>
        <v/>
      </c>
      <c r="M6" s="12" t="str">
        <f>IFERROR(SUM(Tabela51112[[#This Row],[Subtotal]]*(1-Tabela51112[[#This Row],[Desconto]]),Tabela51112[[#This Row],[Valor de Entrega]]),"")</f>
        <v/>
      </c>
      <c r="N6" s="29" t="str">
        <f>IFERROR(IF(Tabela51112[[#This Row],[Id da Venda]]=C7,"",SUMIF(Tabela51112[Id da Venda],Tabela51112[[#This Row],[Id da Venda]],Tabela51112[Total])),"")</f>
        <v/>
      </c>
    </row>
    <row r="7" spans="3:14" x14ac:dyDescent="0.3">
      <c r="D7" s="26"/>
      <c r="F7" s="25" t="str">
        <f>IFERROR(VLOOKUP(Tabela51112[[#This Row],[Produto]],cálculos!$H$3:$K$26,4,0),"")</f>
        <v/>
      </c>
      <c r="H7" s="11" t="str">
        <f>IFERROR(VLOOKUP(Tabela51112[[#This Row],[Produto]],cálculos!$H$3:$K$26,3,0),"")</f>
        <v/>
      </c>
      <c r="I7" s="11" t="str">
        <f>IFERROR(Tabela51112[[#This Row],[Preço Unitário]]*Tabela51112[[#This Row],[Quantidade]],"")</f>
        <v/>
      </c>
      <c r="J7" s="15"/>
      <c r="L7" s="11" t="str">
        <f>IFERROR(IF(Tabela51112[[#This Row],[Entrega]]=K8,"",VLOOKUP(Tabela51112[[#This Row],[Entrega]],cálculos!$A$3:$B$7,2,0)),"")</f>
        <v/>
      </c>
      <c r="M7" s="12" t="str">
        <f>IFERROR(SUM(Tabela51112[[#This Row],[Subtotal]]*(1-Tabela51112[[#This Row],[Desconto]]),Tabela51112[[#This Row],[Valor de Entrega]]),"")</f>
        <v/>
      </c>
      <c r="N7" s="29" t="str">
        <f>IFERROR(IF(Tabela51112[[#This Row],[Id da Venda]]=C8,"",SUMIF(Tabela51112[Id da Venda],Tabela51112[[#This Row],[Id da Venda]],Tabela51112[Total])),"")</f>
        <v/>
      </c>
    </row>
    <row r="8" spans="3:14" x14ac:dyDescent="0.3">
      <c r="D8" s="26"/>
      <c r="F8" s="25" t="str">
        <f>IFERROR(VLOOKUP(Tabela51112[[#This Row],[Produto]],cálculos!$H$3:$K$26,4,0),"")</f>
        <v/>
      </c>
      <c r="H8" s="11" t="str">
        <f>IFERROR(VLOOKUP(Tabela51112[[#This Row],[Produto]],cálculos!$H$3:$K$26,3,0),"")</f>
        <v/>
      </c>
      <c r="I8" s="11" t="str">
        <f>IFERROR(Tabela51112[[#This Row],[Preço Unitário]]*Tabela51112[[#This Row],[Quantidade]],"")</f>
        <v/>
      </c>
      <c r="J8" s="15"/>
      <c r="L8" s="11" t="str">
        <f>IFERROR(IF(Tabela51112[[#This Row],[Entrega]]=K9,"",VLOOKUP(Tabela51112[[#This Row],[Entrega]],cálculos!$A$3:$B$7,2,0)),"")</f>
        <v/>
      </c>
      <c r="M8" s="12" t="str">
        <f>IFERROR(SUM(Tabela51112[[#This Row],[Subtotal]]*(1-Tabela51112[[#This Row],[Desconto]]),Tabela51112[[#This Row],[Valor de Entrega]]),"")</f>
        <v/>
      </c>
      <c r="N8" s="29" t="str">
        <f>IFERROR(IF(Tabela51112[[#This Row],[Id da Venda]]=C9,"",SUMIF(Tabela51112[Id da Venda],Tabela51112[[#This Row],[Id da Venda]],Tabela51112[Total])),"")</f>
        <v/>
      </c>
    </row>
    <row r="9" spans="3:14" x14ac:dyDescent="0.3">
      <c r="D9" s="26"/>
      <c r="F9" s="25" t="str">
        <f>IFERROR(VLOOKUP(Tabela51112[[#This Row],[Produto]],cálculos!$H$3:$K$26,4,0),"")</f>
        <v/>
      </c>
      <c r="H9" s="11" t="str">
        <f>IFERROR(VLOOKUP(Tabela51112[[#This Row],[Produto]],cálculos!$H$3:$K$26,3,0),"")</f>
        <v/>
      </c>
      <c r="I9" s="11" t="str">
        <f>IFERROR(Tabela51112[[#This Row],[Preço Unitário]]*Tabela51112[[#This Row],[Quantidade]],"")</f>
        <v/>
      </c>
      <c r="J9" s="15"/>
      <c r="L9" s="11" t="str">
        <f>IFERROR(IF(Tabela51112[[#This Row],[Entrega]]=K10,"",VLOOKUP(Tabela51112[[#This Row],[Entrega]],cálculos!$A$3:$B$7,2,0)),"")</f>
        <v/>
      </c>
      <c r="M9" s="12" t="str">
        <f>IFERROR(SUM(Tabela51112[[#This Row],[Subtotal]]*(1-Tabela51112[[#This Row],[Desconto]]),Tabela51112[[#This Row],[Valor de Entrega]]),"")</f>
        <v/>
      </c>
      <c r="N9" s="29" t="str">
        <f>IFERROR(IF(Tabela51112[[#This Row],[Id da Venda]]=C10,"",SUMIF(Tabela51112[Id da Venda],Tabela51112[[#This Row],[Id da Venda]],Tabela51112[Total])),"")</f>
        <v/>
      </c>
    </row>
    <row r="10" spans="3:14" x14ac:dyDescent="0.3">
      <c r="D10" s="26"/>
      <c r="F10" s="25" t="str">
        <f>IFERROR(VLOOKUP(Tabela51112[[#This Row],[Produto]],cálculos!$H$3:$K$26,4,0),"")</f>
        <v/>
      </c>
      <c r="H10" s="11" t="str">
        <f>IFERROR(VLOOKUP(Tabela51112[[#This Row],[Produto]],cálculos!$H$3:$K$26,3,0),"")</f>
        <v/>
      </c>
      <c r="I10" s="11" t="str">
        <f>IFERROR(Tabela51112[[#This Row],[Preço Unitário]]*Tabela51112[[#This Row],[Quantidade]],"")</f>
        <v/>
      </c>
      <c r="J10" s="15"/>
      <c r="L10" s="11" t="str">
        <f>IFERROR(IF(Tabela51112[[#This Row],[Entrega]]=K11,"",VLOOKUP(Tabela51112[[#This Row],[Entrega]],cálculos!$A$3:$B$7,2,0)),"")</f>
        <v/>
      </c>
      <c r="M10" s="12" t="str">
        <f>IFERROR(SUM(Tabela51112[[#This Row],[Subtotal]]*(1-Tabela51112[[#This Row],[Desconto]]),Tabela51112[[#This Row],[Valor de Entrega]]),"")</f>
        <v/>
      </c>
      <c r="N10" s="29" t="str">
        <f>IFERROR(IF(Tabela51112[[#This Row],[Id da Venda]]=C11,"",SUMIF(Tabela51112[Id da Venda],Tabela51112[[#This Row],[Id da Venda]],Tabela51112[Total])),"")</f>
        <v/>
      </c>
    </row>
    <row r="11" spans="3:14" x14ac:dyDescent="0.3">
      <c r="D11" s="26"/>
      <c r="F11" s="25" t="str">
        <f>IFERROR(VLOOKUP(Tabela51112[[#This Row],[Produto]],cálculos!$H$3:$K$26,4,0),"")</f>
        <v/>
      </c>
      <c r="H11" s="11" t="str">
        <f>IFERROR(VLOOKUP(Tabela51112[[#This Row],[Produto]],cálculos!$H$3:$K$26,3,0),"")</f>
        <v/>
      </c>
      <c r="I11" s="11" t="str">
        <f>IFERROR(Tabela51112[[#This Row],[Preço Unitário]]*Tabela51112[[#This Row],[Quantidade]],"")</f>
        <v/>
      </c>
      <c r="J11" s="15"/>
      <c r="L11" s="11" t="str">
        <f>IFERROR(IF(Tabela51112[[#This Row],[Entrega]]=K12,"",VLOOKUP(Tabela51112[[#This Row],[Entrega]],cálculos!$A$3:$B$7,2,0)),"")</f>
        <v/>
      </c>
      <c r="M11" s="12" t="str">
        <f>IFERROR(SUM(Tabela51112[[#This Row],[Subtotal]]*(1-Tabela51112[[#This Row],[Desconto]]),Tabela51112[[#This Row],[Valor de Entrega]]),"")</f>
        <v/>
      </c>
      <c r="N11" s="29" t="str">
        <f>IFERROR(IF(Tabela51112[[#This Row],[Id da Venda]]=C12,"",SUMIF(Tabela51112[Id da Venda],Tabela51112[[#This Row],[Id da Venda]],Tabela51112[Total])),"")</f>
        <v/>
      </c>
    </row>
    <row r="12" spans="3:14" x14ac:dyDescent="0.3">
      <c r="D12" s="26"/>
      <c r="F12" s="25" t="str">
        <f>IFERROR(VLOOKUP(Tabela51112[[#This Row],[Produto]],cálculos!$H$3:$K$26,4,0),"")</f>
        <v/>
      </c>
      <c r="H12" s="11" t="str">
        <f>IFERROR(VLOOKUP(Tabela51112[[#This Row],[Produto]],cálculos!$H$3:$K$26,3,0),"")</f>
        <v/>
      </c>
      <c r="I12" s="11" t="str">
        <f>IFERROR(Tabela51112[[#This Row],[Preço Unitário]]*Tabela51112[[#This Row],[Quantidade]],"")</f>
        <v/>
      </c>
      <c r="J12" s="15"/>
      <c r="L12" s="11" t="str">
        <f>IFERROR(IF(Tabela51112[[#This Row],[Entrega]]=K13,"",VLOOKUP(Tabela51112[[#This Row],[Entrega]],cálculos!$A$3:$B$7,2,0)),"")</f>
        <v/>
      </c>
      <c r="M12" s="12" t="str">
        <f>IFERROR(SUM(Tabela51112[[#This Row],[Subtotal]]*(1-Tabela51112[[#This Row],[Desconto]]),Tabela51112[[#This Row],[Valor de Entrega]]),"")</f>
        <v/>
      </c>
      <c r="N12" s="29" t="str">
        <f>IFERROR(IF(Tabela51112[[#This Row],[Id da Venda]]=C13,"",SUMIF(Tabela51112[Id da Venda],Tabela51112[[#This Row],[Id da Venda]],Tabela51112[Total])),"")</f>
        <v/>
      </c>
    </row>
    <row r="13" spans="3:14" x14ac:dyDescent="0.3">
      <c r="D13" s="26"/>
      <c r="F13" s="25" t="str">
        <f>IFERROR(VLOOKUP(Tabela51112[[#This Row],[Produto]],cálculos!$H$3:$K$26,4,0),"")</f>
        <v/>
      </c>
      <c r="H13" s="11" t="str">
        <f>IFERROR(VLOOKUP(Tabela51112[[#This Row],[Produto]],cálculos!$H$3:$K$26,3,0),"")</f>
        <v/>
      </c>
      <c r="I13" s="11" t="str">
        <f>IFERROR(Tabela51112[[#This Row],[Preço Unitário]]*Tabela51112[[#This Row],[Quantidade]],"")</f>
        <v/>
      </c>
      <c r="J13" s="15"/>
      <c r="L13" s="11" t="str">
        <f>IFERROR(IF(Tabela51112[[#This Row],[Entrega]]=K14,"",VLOOKUP(Tabela51112[[#This Row],[Entrega]],cálculos!$A$3:$B$7,2,0)),"")</f>
        <v/>
      </c>
      <c r="M13" s="12" t="str">
        <f>IFERROR(SUM(Tabela51112[[#This Row],[Subtotal]]*(1-Tabela51112[[#This Row],[Desconto]]),Tabela51112[[#This Row],[Valor de Entrega]]),"")</f>
        <v/>
      </c>
      <c r="N13" s="29" t="str">
        <f>IFERROR(IF(Tabela51112[[#This Row],[Id da Venda]]=C14,"",SUMIF(Tabela51112[Id da Venda],Tabela51112[[#This Row],[Id da Venda]],Tabela51112[Total])),"")</f>
        <v/>
      </c>
    </row>
    <row r="14" spans="3:14" x14ac:dyDescent="0.3">
      <c r="D14" s="26"/>
      <c r="F14" s="25" t="str">
        <f>IFERROR(VLOOKUP(Tabela51112[[#This Row],[Produto]],cálculos!$H$3:$K$26,4,0),"")</f>
        <v/>
      </c>
      <c r="H14" s="11" t="str">
        <f>IFERROR(VLOOKUP(Tabela51112[[#This Row],[Produto]],cálculos!$H$3:$K$26,3,0),"")</f>
        <v/>
      </c>
      <c r="I14" s="11" t="str">
        <f>IFERROR(Tabela51112[[#This Row],[Preço Unitário]]*Tabela51112[[#This Row],[Quantidade]],"")</f>
        <v/>
      </c>
      <c r="J14" s="15"/>
      <c r="L14" s="11" t="str">
        <f>IFERROR(IF(Tabela51112[[#This Row],[Entrega]]=K15,"",VLOOKUP(Tabela51112[[#This Row],[Entrega]],cálculos!$A$3:$B$7,2,0)),"")</f>
        <v/>
      </c>
      <c r="M14" s="12" t="str">
        <f>IFERROR(SUM(Tabela51112[[#This Row],[Subtotal]]*(1-Tabela51112[[#This Row],[Desconto]]),Tabela51112[[#This Row],[Valor de Entrega]]),"")</f>
        <v/>
      </c>
      <c r="N14" s="29" t="str">
        <f>IFERROR(IF(Tabela51112[[#This Row],[Id da Venda]]=C15,"",SUMIF(Tabela51112[Id da Venda],Tabela51112[[#This Row],[Id da Venda]],Tabela51112[Total])),"")</f>
        <v/>
      </c>
    </row>
    <row r="15" spans="3:14" x14ac:dyDescent="0.3">
      <c r="D15" s="26"/>
      <c r="F15" s="25" t="str">
        <f>IFERROR(VLOOKUP(Tabela51112[[#This Row],[Produto]],cálculos!$H$3:$K$26,4,0),"")</f>
        <v/>
      </c>
      <c r="H15" s="11" t="str">
        <f>IFERROR(VLOOKUP(Tabela51112[[#This Row],[Produto]],cálculos!$H$3:$K$26,3,0),"")</f>
        <v/>
      </c>
      <c r="I15" s="11" t="str">
        <f>IFERROR(Tabela51112[[#This Row],[Preço Unitário]]*Tabela51112[[#This Row],[Quantidade]],"")</f>
        <v/>
      </c>
      <c r="J15" s="15"/>
      <c r="L15" s="11" t="str">
        <f>IFERROR(IF(Tabela51112[[#This Row],[Entrega]]=K16,"",VLOOKUP(Tabela51112[[#This Row],[Entrega]],cálculos!$A$3:$B$7,2,0)),"")</f>
        <v/>
      </c>
      <c r="M15" s="12" t="str">
        <f>IFERROR(SUM(Tabela51112[[#This Row],[Subtotal]]*(1-Tabela51112[[#This Row],[Desconto]]),Tabela51112[[#This Row],[Valor de Entrega]]),"")</f>
        <v/>
      </c>
      <c r="N15" s="29" t="str">
        <f>IFERROR(IF(Tabela51112[[#This Row],[Id da Venda]]=C16,"",SUMIF(Tabela51112[Id da Venda],Tabela51112[[#This Row],[Id da Venda]],Tabela51112[Total])),"")</f>
        <v/>
      </c>
    </row>
    <row r="16" spans="3:14" x14ac:dyDescent="0.3">
      <c r="D16" s="26"/>
      <c r="F16" s="25" t="str">
        <f>IFERROR(VLOOKUP(Tabela51112[[#This Row],[Produto]],cálculos!$H$3:$K$26,4,0),"")</f>
        <v/>
      </c>
      <c r="H16" s="11" t="str">
        <f>IFERROR(VLOOKUP(Tabela51112[[#This Row],[Produto]],cálculos!$H$3:$K$26,3,0),"")</f>
        <v/>
      </c>
      <c r="I16" s="11" t="str">
        <f>IFERROR(Tabela51112[[#This Row],[Preço Unitário]]*Tabela51112[[#This Row],[Quantidade]],"")</f>
        <v/>
      </c>
      <c r="J16" s="15"/>
      <c r="L16" s="11" t="str">
        <f>IFERROR(IF(Tabela51112[[#This Row],[Entrega]]=K17,"",VLOOKUP(Tabela51112[[#This Row],[Entrega]],cálculos!$A$3:$B$7,2,0)),"")</f>
        <v/>
      </c>
      <c r="M16" s="12" t="str">
        <f>IFERROR(SUM(Tabela51112[[#This Row],[Subtotal]]*(1-Tabela51112[[#This Row],[Desconto]]),Tabela51112[[#This Row],[Valor de Entrega]]),"")</f>
        <v/>
      </c>
      <c r="N16" s="29" t="str">
        <f>IFERROR(IF(Tabela51112[[#This Row],[Id da Venda]]=C17,"",SUMIF(Tabela51112[Id da Venda],Tabela51112[[#This Row],[Id da Venda]],Tabela51112[Total])),"")</f>
        <v/>
      </c>
    </row>
    <row r="17" spans="3:14" x14ac:dyDescent="0.3">
      <c r="D17" s="26"/>
      <c r="F17" s="25" t="str">
        <f>IFERROR(VLOOKUP(Tabela51112[[#This Row],[Produto]],cálculos!$H$3:$K$26,4,0),"")</f>
        <v/>
      </c>
      <c r="H17" s="11" t="str">
        <f>IFERROR(VLOOKUP(Tabela51112[[#This Row],[Produto]],cálculos!$H$3:$K$26,3,0),"")</f>
        <v/>
      </c>
      <c r="I17" s="11" t="str">
        <f>IFERROR(Tabela51112[[#This Row],[Preço Unitário]]*Tabela51112[[#This Row],[Quantidade]],"")</f>
        <v/>
      </c>
      <c r="J17" s="15"/>
      <c r="L17" s="11" t="str">
        <f>IFERROR(IF(Tabela51112[[#This Row],[Entrega]]=K18,"",VLOOKUP(Tabela51112[[#This Row],[Entrega]],cálculos!$A$3:$B$7,2,0)),"")</f>
        <v/>
      </c>
      <c r="M17" s="12" t="str">
        <f>IFERROR(SUM(Tabela51112[[#This Row],[Subtotal]]*(1-Tabela51112[[#This Row],[Desconto]]),Tabela51112[[#This Row],[Valor de Entrega]]),"")</f>
        <v/>
      </c>
      <c r="N17" s="29" t="str">
        <f>IFERROR(IF(Tabela51112[[#This Row],[Id da Venda]]=C18,"",SUMIF(Tabela51112[Id da Venda],Tabela51112[[#This Row],[Id da Venda]],Tabela51112[Total])),"")</f>
        <v/>
      </c>
    </row>
    <row r="18" spans="3:14" x14ac:dyDescent="0.3">
      <c r="D18" s="26"/>
      <c r="F18" s="27" t="str">
        <f>IFERROR(VLOOKUP(Tabela51112[[#This Row],[Produto]],cálculos!$H$3:$K$26,4,0),"")</f>
        <v/>
      </c>
      <c r="H18" s="11" t="str">
        <f>IFERROR(VLOOKUP(Tabela51112[[#This Row],[Produto]],cálculos!$H$3:$K$26,3,0),"")</f>
        <v/>
      </c>
      <c r="I18" s="11" t="str">
        <f>IFERROR(Tabela51112[[#This Row],[Preço Unitário]]*Tabela51112[[#This Row],[Quantidade]],"")</f>
        <v/>
      </c>
      <c r="J18" s="15"/>
      <c r="L18" s="11" t="str">
        <f>IFERROR(IF(Tabela51112[[#This Row],[Entrega]]=K19,"",VLOOKUP(Tabela51112[[#This Row],[Entrega]],cálculos!$A$3:$B$7,2,0)),"")</f>
        <v/>
      </c>
      <c r="M18" s="12" t="str">
        <f>IFERROR(SUM(Tabela51112[[#This Row],[Subtotal]]*(1-Tabela51112[[#This Row],[Desconto]]),Tabela51112[[#This Row],[Valor de Entrega]]),"")</f>
        <v/>
      </c>
      <c r="N18" s="29" t="str">
        <f>IFERROR(IF(Tabela51112[[#This Row],[Id da Venda]]=C19,"",SUMIF(Tabela51112[Id da Venda],Tabela51112[[#This Row],[Id da Venda]],Tabela51112[Total])),"")</f>
        <v/>
      </c>
    </row>
    <row r="19" spans="3:14" x14ac:dyDescent="0.3">
      <c r="D19" s="26"/>
      <c r="F19" s="27" t="str">
        <f>IFERROR(VLOOKUP(Tabela51112[[#This Row],[Produto]],cálculos!$H$3:$K$26,4,0),"")</f>
        <v/>
      </c>
      <c r="H19" s="11" t="str">
        <f>IFERROR(VLOOKUP(Tabela51112[[#This Row],[Produto]],cálculos!$H$3:$K$26,3,0),"")</f>
        <v/>
      </c>
      <c r="I19" s="11" t="str">
        <f>IFERROR(Tabela51112[[#This Row],[Preço Unitário]]*Tabela51112[[#This Row],[Quantidade]],"")</f>
        <v/>
      </c>
      <c r="J19" s="15"/>
      <c r="L19" s="11" t="str">
        <f>IFERROR(IF(Tabela51112[[#This Row],[Entrega]]=K20,"",VLOOKUP(Tabela51112[[#This Row],[Entrega]],cálculos!$A$3:$B$7,2,0)),"")</f>
        <v/>
      </c>
      <c r="M19" s="12" t="str">
        <f>IFERROR(SUM(Tabela51112[[#This Row],[Subtotal]]*(1-Tabela51112[[#This Row],[Desconto]]),Tabela51112[[#This Row],[Valor de Entrega]]),"")</f>
        <v/>
      </c>
      <c r="N19" s="29" t="str">
        <f>IFERROR(IF(Tabela51112[[#This Row],[Id da Venda]]=C20,"",SUMIF(Tabela51112[Id da Venda],Tabela51112[[#This Row],[Id da Venda]],Tabela51112[Total])),"")</f>
        <v/>
      </c>
    </row>
    <row r="20" spans="3:14" x14ac:dyDescent="0.3">
      <c r="D20" s="26"/>
      <c r="F20" s="27" t="str">
        <f>IFERROR(VLOOKUP(Tabela51112[[#This Row],[Produto]],cálculos!$H$3:$K$26,4,0),"")</f>
        <v/>
      </c>
      <c r="H20" s="11" t="str">
        <f>IFERROR(VLOOKUP(Tabela51112[[#This Row],[Produto]],cálculos!$H$3:$K$26,3,0),"")</f>
        <v/>
      </c>
      <c r="I20" s="11" t="str">
        <f>IFERROR(Tabela51112[[#This Row],[Preço Unitário]]*Tabela51112[[#This Row],[Quantidade]],"")</f>
        <v/>
      </c>
      <c r="J20" s="15"/>
      <c r="L20" s="11" t="str">
        <f>IFERROR(IF(Tabela51112[[#This Row],[Entrega]]=K21,"",VLOOKUP(Tabela51112[[#This Row],[Entrega]],cálculos!$A$3:$B$7,2,0)),"")</f>
        <v/>
      </c>
      <c r="M20" s="12" t="str">
        <f>IFERROR(SUM(Tabela51112[[#This Row],[Subtotal]]*(1-Tabela51112[[#This Row],[Desconto]]),Tabela51112[[#This Row],[Valor de Entrega]]),"")</f>
        <v/>
      </c>
      <c r="N20" s="29" t="str">
        <f>IFERROR(IF(Tabela51112[[#This Row],[Id da Venda]]=C21,"",SUMIF(Tabela51112[Id da Venda],Tabela51112[[#This Row],[Id da Venda]],Tabela51112[Total])),"")</f>
        <v/>
      </c>
    </row>
    <row r="21" spans="3:14" x14ac:dyDescent="0.3">
      <c r="D21" s="26"/>
      <c r="F21" s="27" t="str">
        <f>IFERROR(VLOOKUP(Tabela51112[[#This Row],[Produto]],cálculos!$H$3:$K$26,4,0),"")</f>
        <v/>
      </c>
      <c r="H21" s="11" t="str">
        <f>IFERROR(VLOOKUP(Tabela51112[[#This Row],[Produto]],cálculos!$H$3:$K$26,3,0),"")</f>
        <v/>
      </c>
      <c r="I21" s="11" t="str">
        <f>IFERROR(Tabela51112[[#This Row],[Preço Unitário]]*Tabela51112[[#This Row],[Quantidade]],"")</f>
        <v/>
      </c>
      <c r="J21" s="15"/>
      <c r="L21" s="11" t="str">
        <f>IFERROR(IF(Tabela51112[[#This Row],[Entrega]]=K22,"",VLOOKUP(Tabela51112[[#This Row],[Entrega]],cálculos!$A$3:$B$7,2,0)),"")</f>
        <v/>
      </c>
      <c r="M21" s="12" t="str">
        <f>IFERROR(SUM(Tabela51112[[#This Row],[Subtotal]]*(1-Tabela51112[[#This Row],[Desconto]]),Tabela51112[[#This Row],[Valor de Entrega]]),"")</f>
        <v/>
      </c>
      <c r="N21" s="29" t="str">
        <f>IFERROR(IF(Tabela51112[[#This Row],[Id da Venda]]=C22,"",SUMIF(Tabela51112[Id da Venda],Tabela51112[[#This Row],[Id da Venda]],Tabela51112[Total])),"")</f>
        <v/>
      </c>
    </row>
    <row r="22" spans="3:14" x14ac:dyDescent="0.3">
      <c r="D22" s="26"/>
      <c r="F22" s="27" t="str">
        <f>IFERROR(VLOOKUP(Tabela51112[[#This Row],[Produto]],cálculos!$H$3:$K$26,4,0),"")</f>
        <v/>
      </c>
      <c r="H22" s="11" t="str">
        <f>IFERROR(VLOOKUP(Tabela51112[[#This Row],[Produto]],cálculos!$H$3:$K$26,3,0),"")</f>
        <v/>
      </c>
      <c r="I22" s="11" t="str">
        <f>IFERROR(Tabela51112[[#This Row],[Preço Unitário]]*Tabela51112[[#This Row],[Quantidade]],"")</f>
        <v/>
      </c>
      <c r="J22" s="15"/>
      <c r="L22" s="11" t="str">
        <f>IFERROR(IF(Tabela51112[[#This Row],[Entrega]]=K23,"",VLOOKUP(Tabela51112[[#This Row],[Entrega]],cálculos!$A$3:$B$7,2,0)),"")</f>
        <v/>
      </c>
      <c r="M22" s="12" t="str">
        <f>IFERROR(SUM(Tabela51112[[#This Row],[Subtotal]]*(1-Tabela51112[[#This Row],[Desconto]]),Tabela51112[[#This Row],[Valor de Entrega]]),"")</f>
        <v/>
      </c>
      <c r="N22" s="29" t="str">
        <f>IFERROR(IF(Tabela51112[[#This Row],[Id da Venda]]=C23,"",SUMIF(Tabela51112[Id da Venda],Tabela51112[[#This Row],[Id da Venda]],Tabela51112[Total])),"")</f>
        <v/>
      </c>
    </row>
    <row r="23" spans="3:14" x14ac:dyDescent="0.3">
      <c r="D23" s="26"/>
      <c r="F23" s="27" t="str">
        <f>IFERROR(VLOOKUP(Tabela51112[[#This Row],[Produto]],cálculos!$H$3:$K$26,4,0),"")</f>
        <v/>
      </c>
      <c r="H23" s="11" t="str">
        <f>IFERROR(VLOOKUP(Tabela51112[[#This Row],[Produto]],cálculos!$H$3:$K$26,3,0),"")</f>
        <v/>
      </c>
      <c r="I23" s="11" t="str">
        <f>IFERROR(Tabela51112[[#This Row],[Preço Unitário]]*Tabela51112[[#This Row],[Quantidade]],"")</f>
        <v/>
      </c>
      <c r="J23" s="15"/>
      <c r="L23" s="11" t="str">
        <f>IFERROR(IF(Tabela51112[[#This Row],[Entrega]]=K24,"",VLOOKUP(Tabela51112[[#This Row],[Entrega]],cálculos!$A$3:$B$7,2,0)),"")</f>
        <v/>
      </c>
      <c r="M23" s="12" t="str">
        <f>IFERROR(SUM(Tabela51112[[#This Row],[Subtotal]]*(1-Tabela51112[[#This Row],[Desconto]]),Tabela51112[[#This Row],[Valor de Entrega]]),"")</f>
        <v/>
      </c>
      <c r="N23" s="29" t="str">
        <f>IFERROR(IF(Tabela51112[[#This Row],[Id da Venda]]=C24,"",SUMIF(Tabela51112[Id da Venda],Tabela51112[[#This Row],[Id da Venda]],Tabela51112[Total])),"")</f>
        <v/>
      </c>
    </row>
    <row r="24" spans="3:14" x14ac:dyDescent="0.3">
      <c r="D24" s="26"/>
      <c r="F24" s="27" t="str">
        <f>IFERROR(VLOOKUP(Tabela51112[[#This Row],[Produto]],cálculos!$H$3:$K$26,4,0),"")</f>
        <v/>
      </c>
      <c r="H24" s="11" t="str">
        <f>IFERROR(VLOOKUP(Tabela51112[[#This Row],[Produto]],cálculos!$H$3:$K$26,3,0),"")</f>
        <v/>
      </c>
      <c r="I24" s="11" t="str">
        <f>IFERROR(Tabela51112[[#This Row],[Preço Unitário]]*Tabela51112[[#This Row],[Quantidade]],"")</f>
        <v/>
      </c>
      <c r="J24" s="15"/>
      <c r="L24" s="11" t="str">
        <f>IFERROR(IF(Tabela51112[[#This Row],[Entrega]]=K25,"",VLOOKUP(Tabela51112[[#This Row],[Entrega]],cálculos!$A$3:$B$7,2,0)),"")</f>
        <v/>
      </c>
      <c r="M24" s="12" t="str">
        <f>IFERROR(SUM(Tabela51112[[#This Row],[Subtotal]]*(1-Tabela51112[[#This Row],[Desconto]]),Tabela51112[[#This Row],[Valor de Entrega]]),"")</f>
        <v/>
      </c>
      <c r="N24" s="29" t="str">
        <f>IFERROR(IF(Tabela51112[[#This Row],[Id da Venda]]=C25,"",SUMIF(Tabela51112[Id da Venda],Tabela51112[[#This Row],[Id da Venda]],Tabela51112[Total])),"")</f>
        <v/>
      </c>
    </row>
    <row r="25" spans="3:14" x14ac:dyDescent="0.3">
      <c r="D25" s="26"/>
      <c r="F25" s="27" t="str">
        <f>IFERROR(VLOOKUP(Tabela51112[[#This Row],[Produto]],cálculos!$H$3:$K$26,4,0),"")</f>
        <v/>
      </c>
      <c r="H25" s="11" t="str">
        <f>IFERROR(VLOOKUP(Tabela51112[[#This Row],[Produto]],cálculos!$H$3:$K$26,3,0),"")</f>
        <v/>
      </c>
      <c r="I25" s="11" t="str">
        <f>IFERROR(Tabela51112[[#This Row],[Preço Unitário]]*Tabela51112[[#This Row],[Quantidade]],"")</f>
        <v/>
      </c>
      <c r="J25" s="15"/>
      <c r="L25" s="11" t="str">
        <f>IFERROR(IF(Tabela51112[[#This Row],[Entrega]]=K26,"",VLOOKUP(Tabela51112[[#This Row],[Entrega]],cálculos!$A$3:$B$7,2,0)),"")</f>
        <v/>
      </c>
      <c r="M25" s="12" t="str">
        <f>IFERROR(SUM(Tabela51112[[#This Row],[Subtotal]]*(1-Tabela51112[[#This Row],[Desconto]]),Tabela51112[[#This Row],[Valor de Entrega]]),"")</f>
        <v/>
      </c>
      <c r="N25" s="29" t="str">
        <f>IFERROR(IF(Tabela51112[[#This Row],[Id da Venda]]=C26,"",SUMIF(Tabela51112[Id da Venda],Tabela51112[[#This Row],[Id da Venda]],Tabela51112[Total])),"")</f>
        <v/>
      </c>
    </row>
    <row r="26" spans="3:14" x14ac:dyDescent="0.3">
      <c r="D26" s="26"/>
      <c r="F26" s="27" t="str">
        <f>IFERROR(VLOOKUP(Tabela51112[[#This Row],[Produto]],cálculos!$H$3:$K$26,4,0),"")</f>
        <v/>
      </c>
      <c r="H26" s="11" t="str">
        <f>IFERROR(VLOOKUP(Tabela51112[[#This Row],[Produto]],cálculos!$H$3:$K$26,3,0),"")</f>
        <v/>
      </c>
      <c r="I26" s="11" t="str">
        <f>IFERROR(Tabela51112[[#This Row],[Preço Unitário]]*Tabela51112[[#This Row],[Quantidade]],"")</f>
        <v/>
      </c>
      <c r="J26" s="15"/>
      <c r="L26" s="11" t="str">
        <f>IFERROR(IF(Tabela51112[[#This Row],[Entrega]]=K27,"",VLOOKUP(Tabela51112[[#This Row],[Entrega]],cálculos!$A$3:$B$7,2,0)),"")</f>
        <v/>
      </c>
      <c r="M26" s="12" t="str">
        <f>IFERROR(SUM(Tabela51112[[#This Row],[Subtotal]]*(1-Tabela51112[[#This Row],[Desconto]]),Tabela51112[[#This Row],[Valor de Entrega]]),"")</f>
        <v/>
      </c>
      <c r="N26" s="29" t="str">
        <f>IFERROR(IF(Tabela51112[[#This Row],[Id da Venda]]=C27,"",SUMIF(Tabela51112[Id da Venda],Tabela51112[[#This Row],[Id da Venda]],Tabela51112[Total])),"")</f>
        <v/>
      </c>
    </row>
    <row r="27" spans="3:14" x14ac:dyDescent="0.3">
      <c r="D27" s="26"/>
      <c r="F27" s="27" t="str">
        <f>IFERROR(VLOOKUP(Tabela51112[[#This Row],[Produto]],cálculos!$H$3:$K$26,4,0),"")</f>
        <v/>
      </c>
      <c r="H27" s="11" t="str">
        <f>IFERROR(VLOOKUP(Tabela51112[[#This Row],[Produto]],cálculos!$H$3:$K$26,3,0),"")</f>
        <v/>
      </c>
      <c r="I27" s="11" t="str">
        <f>IFERROR(Tabela51112[[#This Row],[Preço Unitário]]*Tabela51112[[#This Row],[Quantidade]],"")</f>
        <v/>
      </c>
      <c r="J27" s="15"/>
      <c r="L27" s="11" t="str">
        <f>IFERROR(IF(Tabela51112[[#This Row],[Entrega]]=K28,"",VLOOKUP(Tabela51112[[#This Row],[Entrega]],cálculos!$A$3:$B$7,2,0)),"")</f>
        <v/>
      </c>
      <c r="M27" s="12" t="str">
        <f>IFERROR(SUM(Tabela51112[[#This Row],[Subtotal]]*(1-Tabela51112[[#This Row],[Desconto]]),Tabela51112[[#This Row],[Valor de Entrega]]),"")</f>
        <v/>
      </c>
      <c r="N27" s="29" t="str">
        <f>IFERROR(IF(Tabela51112[[#This Row],[Id da Venda]]=C28,"",SUMIF(Tabela51112[Id da Venda],Tabela51112[[#This Row],[Id da Venda]],Tabela51112[Total])),"")</f>
        <v/>
      </c>
    </row>
    <row r="28" spans="3:14" x14ac:dyDescent="0.3">
      <c r="D28" s="26"/>
      <c r="F28" s="27" t="str">
        <f>IFERROR(VLOOKUP(Tabela51112[[#This Row],[Produto]],cálculos!$H$3:$K$26,4,0),"")</f>
        <v/>
      </c>
      <c r="H28" s="11" t="str">
        <f>IFERROR(VLOOKUP(Tabela51112[[#This Row],[Produto]],cálculos!$H$3:$K$26,3,0),"")</f>
        <v/>
      </c>
      <c r="I28" s="11" t="str">
        <f>IFERROR(Tabela51112[[#This Row],[Preço Unitário]]*Tabela51112[[#This Row],[Quantidade]],"")</f>
        <v/>
      </c>
      <c r="J28" s="15"/>
      <c r="L28" s="11" t="str">
        <f>IFERROR(IF(Tabela51112[[#This Row],[Entrega]]=K29,"",VLOOKUP(Tabela51112[[#This Row],[Entrega]],cálculos!$A$3:$B$7,2,0)),"")</f>
        <v/>
      </c>
      <c r="M28" s="12" t="str">
        <f>IFERROR(SUM(Tabela51112[[#This Row],[Subtotal]]*(1-Tabela51112[[#This Row],[Desconto]]),Tabela51112[[#This Row],[Valor de Entrega]]),"")</f>
        <v/>
      </c>
      <c r="N28" s="29" t="str">
        <f>IFERROR(IF(Tabela51112[[#This Row],[Id da Venda]]=C29,"",SUMIF(Tabela51112[Id da Venda],Tabela51112[[#This Row],[Id da Venda]],Tabela51112[Total])),"")</f>
        <v/>
      </c>
    </row>
    <row r="29" spans="3:14" x14ac:dyDescent="0.3">
      <c r="D29" s="26"/>
      <c r="F29" s="27" t="str">
        <f>IFERROR(VLOOKUP(Tabela51112[[#This Row],[Produto]],cálculos!$H$3:$K$26,4,0),"")</f>
        <v/>
      </c>
      <c r="H29" s="11" t="str">
        <f>IFERROR(VLOOKUP(Tabela51112[[#This Row],[Produto]],cálculos!$H$3:$K$26,3,0),"")</f>
        <v/>
      </c>
      <c r="I29" s="11" t="str">
        <f>IFERROR(Tabela51112[[#This Row],[Preço Unitário]]*Tabela51112[[#This Row],[Quantidade]],"")</f>
        <v/>
      </c>
      <c r="J29" s="15"/>
      <c r="L29" s="11" t="str">
        <f>IFERROR(IF(Tabela51112[[#This Row],[Entrega]]=K30,"",VLOOKUP(Tabela51112[[#This Row],[Entrega]],cálculos!$A$3:$B$7,2,0)),"")</f>
        <v/>
      </c>
      <c r="M29" s="12" t="str">
        <f>IFERROR(SUM(Tabela51112[[#This Row],[Subtotal]]*(1-Tabela51112[[#This Row],[Desconto]]),Tabela51112[[#This Row],[Valor de Entrega]]),"")</f>
        <v/>
      </c>
      <c r="N29" s="29">
        <f>IFERROR(IF(Tabela51112[[#This Row],[Id da Venda]]=C30,"",SUMIF(Tabela51112[Id da Venda],Tabela51112[[#This Row],[Id da Venda]],Tabela51112[Total])),"")</f>
        <v>0</v>
      </c>
    </row>
    <row r="30" spans="3:14" x14ac:dyDescent="0.3">
      <c r="C30" s="25" t="s">
        <v>54</v>
      </c>
      <c r="H30" s="27"/>
      <c r="I30" s="27"/>
      <c r="J30" s="27"/>
      <c r="L30" s="12">
        <f>SUBTOTAL(109,Tabela51112[Valor de Entrega])</f>
        <v>0</v>
      </c>
      <c r="N30" s="29">
        <f>SUBTOTAL(109,Tabela51112[Total para o Cliente])</f>
        <v>0</v>
      </c>
    </row>
    <row r="31" spans="3:14" ht="15" thickBot="1" x14ac:dyDescent="0.35"/>
    <row r="32" spans="3:14" ht="19.2" thickTop="1" thickBot="1" x14ac:dyDescent="0.4">
      <c r="C32" s="65" t="s">
        <v>130</v>
      </c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5" cm="1">
        <f t="array" ref="N32">SUM(IF(FREQUENCY(Tabela51112[Id da Venda],Tabela51112[Id da Venda])&gt;0,1,0))</f>
        <v>0</v>
      </c>
    </row>
    <row r="33" ht="15" thickTop="1" x14ac:dyDescent="0.3"/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986C2BB-5304-4511-B11A-CD57A5D0EA69}">
          <x14:formula1>
            <xm:f>cálculos!$H$3:$H$26</xm:f>
          </x14:formula1>
          <xm:sqref>E5:E29</xm:sqref>
        </x14:dataValidation>
        <x14:dataValidation type="list" allowBlank="1" showInputMessage="1" showErrorMessage="1" xr:uid="{C826A32E-3848-4C84-9CC6-2F7EAA6C9418}">
          <x14:formula1>
            <xm:f>cálculos!$A$3:$A$7</xm:f>
          </x14:formula1>
          <xm:sqref>K5:K29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FCD6-64B1-4408-B4CA-DA14DFBD5868}">
  <sheetPr codeName="Planilha11"/>
  <dimension ref="C2:N33"/>
  <sheetViews>
    <sheetView showGridLines="0" workbookViewId="0">
      <selection activeCell="E35" sqref="E35"/>
    </sheetView>
  </sheetViews>
  <sheetFormatPr defaultRowHeight="14.4" x14ac:dyDescent="0.3"/>
  <cols>
    <col min="1" max="2" width="8.88671875" style="25"/>
    <col min="3" max="3" width="12.44140625" style="25" customWidth="1"/>
    <col min="4" max="4" width="10.5546875" style="25" bestFit="1" customWidth="1"/>
    <col min="5" max="5" width="9.44140625" style="25" customWidth="1"/>
    <col min="6" max="6" width="9" style="25" customWidth="1"/>
    <col min="7" max="7" width="12.33203125" style="25" customWidth="1"/>
    <col min="8" max="8" width="14.6640625" style="25" customWidth="1"/>
    <col min="9" max="9" width="10.33203125" style="25" bestFit="1" customWidth="1"/>
    <col min="10" max="10" width="10.6640625" style="25" customWidth="1"/>
    <col min="11" max="11" width="9.109375" style="25" customWidth="1"/>
    <col min="12" max="12" width="16.33203125" style="25" customWidth="1"/>
    <col min="13" max="13" width="10.33203125" style="25" bestFit="1" customWidth="1"/>
    <col min="14" max="14" width="18.88671875" style="25" customWidth="1"/>
    <col min="15" max="16384" width="8.88671875" style="25"/>
  </cols>
  <sheetData>
    <row r="2" spans="3:14" s="28" customFormat="1" ht="28.05" customHeight="1" x14ac:dyDescent="0.3">
      <c r="C2" s="28" t="s">
        <v>118</v>
      </c>
    </row>
    <row r="3" spans="3:14" ht="24.6" customHeight="1" x14ac:dyDescent="0.3"/>
    <row r="4" spans="3:14" x14ac:dyDescent="0.3">
      <c r="C4" s="25" t="s">
        <v>111</v>
      </c>
      <c r="D4" s="25" t="s">
        <v>42</v>
      </c>
      <c r="E4" s="25" t="s">
        <v>105</v>
      </c>
      <c r="F4" s="25" t="s">
        <v>68</v>
      </c>
      <c r="G4" s="25" t="s">
        <v>62</v>
      </c>
      <c r="H4" s="25" t="s">
        <v>59</v>
      </c>
      <c r="I4" s="25" t="s">
        <v>112</v>
      </c>
      <c r="J4" s="25" t="s">
        <v>60</v>
      </c>
      <c r="K4" s="25" t="s">
        <v>113</v>
      </c>
      <c r="L4" s="25" t="s">
        <v>114</v>
      </c>
      <c r="M4" s="25" t="s">
        <v>54</v>
      </c>
      <c r="N4" s="25" t="s">
        <v>115</v>
      </c>
    </row>
    <row r="5" spans="3:14" x14ac:dyDescent="0.3">
      <c r="D5" s="26"/>
      <c r="F5" s="27" t="str">
        <f>IFERROR(VLOOKUP(Tabela511127[[#This Row],[Produto]],cálculos!$H$3:$K$26,4,0),"")</f>
        <v/>
      </c>
      <c r="H5" s="11" t="str">
        <f>IFERROR(VLOOKUP(Tabela511127[[#This Row],[Produto]],cálculos!$H$3:$K$26,3,0),"")</f>
        <v/>
      </c>
      <c r="I5" s="11" t="str">
        <f>IFERROR(Tabela511127[[#This Row],[Preço Unitário]]*Tabela511127[[#This Row],[Quantidade]],"")</f>
        <v/>
      </c>
      <c r="J5" s="15"/>
      <c r="L5" s="11" t="str">
        <f>IFERROR(IF(Tabela511127[[#This Row],[Entrega]]=K6,"",VLOOKUP(Tabela511127[[#This Row],[Entrega]],cálculos!$A$3:$B$7,2,0)),"")</f>
        <v/>
      </c>
      <c r="M5" s="12" t="str">
        <f>IFERROR(SUM(Tabela511127[[#This Row],[Subtotal]]*(1-Tabela511127[[#This Row],[Desconto]]),Tabela511127[[#This Row],[Valor de Entrega]]),"")</f>
        <v/>
      </c>
      <c r="N5" s="29" t="str">
        <f>IFERROR(IF(Tabela511127[[#This Row],[Id da Venda]]=C6,"",SUMIF(Tabela511127[Id da Venda],Tabela511127[[#This Row],[Id da Venda]],Tabela511127[Total])),"")</f>
        <v/>
      </c>
    </row>
    <row r="6" spans="3:14" x14ac:dyDescent="0.3">
      <c r="D6" s="26"/>
      <c r="F6" s="25" t="str">
        <f>IFERROR(VLOOKUP(Tabela511127[[#This Row],[Produto]],cálculos!$H$3:$K$26,4,0),"")</f>
        <v/>
      </c>
      <c r="H6" s="11" t="str">
        <f>IFERROR(VLOOKUP(Tabela511127[[#This Row],[Produto]],cálculos!$H$3:$K$26,3,0),"")</f>
        <v/>
      </c>
      <c r="I6" s="11" t="str">
        <f>IFERROR(Tabela511127[[#This Row],[Preço Unitário]]*Tabela511127[[#This Row],[Quantidade]],"")</f>
        <v/>
      </c>
      <c r="J6" s="15"/>
      <c r="L6" s="11" t="str">
        <f>IFERROR(IF(Tabela511127[[#This Row],[Entrega]]=K7,"",VLOOKUP(Tabela511127[[#This Row],[Entrega]],cálculos!$A$3:$B$7,2,0)),"")</f>
        <v/>
      </c>
      <c r="M6" s="12" t="str">
        <f>IFERROR(SUM(Tabela511127[[#This Row],[Subtotal]]*(1-Tabela511127[[#This Row],[Desconto]]),Tabela511127[[#This Row],[Valor de Entrega]]),"")</f>
        <v/>
      </c>
      <c r="N6" s="29" t="str">
        <f>IFERROR(IF(Tabela511127[[#This Row],[Id da Venda]]=C7,"",SUMIF(Tabela511127[Id da Venda],Tabela511127[[#This Row],[Id da Venda]],Tabela511127[Total])),"")</f>
        <v/>
      </c>
    </row>
    <row r="7" spans="3:14" x14ac:dyDescent="0.3">
      <c r="D7" s="26"/>
      <c r="F7" s="25" t="str">
        <f>IFERROR(VLOOKUP(Tabela511127[[#This Row],[Produto]],cálculos!$H$3:$K$26,4,0),"")</f>
        <v/>
      </c>
      <c r="H7" s="11" t="str">
        <f>IFERROR(VLOOKUP(Tabela511127[[#This Row],[Produto]],cálculos!$H$3:$K$26,3,0),"")</f>
        <v/>
      </c>
      <c r="I7" s="11" t="str">
        <f>IFERROR(Tabela511127[[#This Row],[Preço Unitário]]*Tabela511127[[#This Row],[Quantidade]],"")</f>
        <v/>
      </c>
      <c r="J7" s="15"/>
      <c r="L7" s="11" t="str">
        <f>IFERROR(IF(Tabela511127[[#This Row],[Entrega]]=K8,"",VLOOKUP(Tabela511127[[#This Row],[Entrega]],cálculos!$A$3:$B$7,2,0)),"")</f>
        <v/>
      </c>
      <c r="M7" s="12" t="str">
        <f>IFERROR(SUM(Tabela511127[[#This Row],[Subtotal]]*(1-Tabela511127[[#This Row],[Desconto]]),Tabela511127[[#This Row],[Valor de Entrega]]),"")</f>
        <v/>
      </c>
      <c r="N7" s="29" t="str">
        <f>IFERROR(IF(Tabela511127[[#This Row],[Id da Venda]]=C8,"",SUMIF(Tabela511127[Id da Venda],Tabela511127[[#This Row],[Id da Venda]],Tabela511127[Total])),"")</f>
        <v/>
      </c>
    </row>
    <row r="8" spans="3:14" x14ac:dyDescent="0.3">
      <c r="D8" s="26"/>
      <c r="F8" s="25" t="str">
        <f>IFERROR(VLOOKUP(Tabela511127[[#This Row],[Produto]],cálculos!$H$3:$K$26,4,0),"")</f>
        <v/>
      </c>
      <c r="H8" s="11" t="str">
        <f>IFERROR(VLOOKUP(Tabela511127[[#This Row],[Produto]],cálculos!$H$3:$K$26,3,0),"")</f>
        <v/>
      </c>
      <c r="I8" s="11" t="str">
        <f>IFERROR(Tabela511127[[#This Row],[Preço Unitário]]*Tabela511127[[#This Row],[Quantidade]],"")</f>
        <v/>
      </c>
      <c r="J8" s="15"/>
      <c r="L8" s="11" t="str">
        <f>IFERROR(IF(Tabela511127[[#This Row],[Entrega]]=K9,"",VLOOKUP(Tabela511127[[#This Row],[Entrega]],cálculos!$A$3:$B$7,2,0)),"")</f>
        <v/>
      </c>
      <c r="M8" s="12" t="str">
        <f>IFERROR(SUM(Tabela511127[[#This Row],[Subtotal]]*(1-Tabela511127[[#This Row],[Desconto]]),Tabela511127[[#This Row],[Valor de Entrega]]),"")</f>
        <v/>
      </c>
      <c r="N8" s="29" t="str">
        <f>IFERROR(IF(Tabela511127[[#This Row],[Id da Venda]]=C9,"",SUMIF(Tabela511127[Id da Venda],Tabela511127[[#This Row],[Id da Venda]],Tabela511127[Total])),"")</f>
        <v/>
      </c>
    </row>
    <row r="9" spans="3:14" x14ac:dyDescent="0.3">
      <c r="D9" s="26"/>
      <c r="F9" s="25" t="str">
        <f>IFERROR(VLOOKUP(Tabela511127[[#This Row],[Produto]],cálculos!$H$3:$K$26,4,0),"")</f>
        <v/>
      </c>
      <c r="H9" s="11" t="str">
        <f>IFERROR(VLOOKUP(Tabela511127[[#This Row],[Produto]],cálculos!$H$3:$K$26,3,0),"")</f>
        <v/>
      </c>
      <c r="I9" s="11" t="str">
        <f>IFERROR(Tabela511127[[#This Row],[Preço Unitário]]*Tabela511127[[#This Row],[Quantidade]],"")</f>
        <v/>
      </c>
      <c r="J9" s="15"/>
      <c r="L9" s="11" t="str">
        <f>IFERROR(IF(Tabela511127[[#This Row],[Entrega]]=K10,"",VLOOKUP(Tabela511127[[#This Row],[Entrega]],cálculos!$A$3:$B$7,2,0)),"")</f>
        <v/>
      </c>
      <c r="M9" s="12" t="str">
        <f>IFERROR(SUM(Tabela511127[[#This Row],[Subtotal]]*(1-Tabela511127[[#This Row],[Desconto]]),Tabela511127[[#This Row],[Valor de Entrega]]),"")</f>
        <v/>
      </c>
      <c r="N9" s="29" t="str">
        <f>IFERROR(IF(Tabela511127[[#This Row],[Id da Venda]]=C10,"",SUMIF(Tabela511127[Id da Venda],Tabela511127[[#This Row],[Id da Venda]],Tabela511127[Total])),"")</f>
        <v/>
      </c>
    </row>
    <row r="10" spans="3:14" x14ac:dyDescent="0.3">
      <c r="D10" s="26"/>
      <c r="F10" s="25" t="str">
        <f>IFERROR(VLOOKUP(Tabela511127[[#This Row],[Produto]],cálculos!$H$3:$K$26,4,0),"")</f>
        <v/>
      </c>
      <c r="H10" s="11" t="str">
        <f>IFERROR(VLOOKUP(Tabela511127[[#This Row],[Produto]],cálculos!$H$3:$K$26,3,0),"")</f>
        <v/>
      </c>
      <c r="I10" s="11" t="str">
        <f>IFERROR(Tabela511127[[#This Row],[Preço Unitário]]*Tabela511127[[#This Row],[Quantidade]],"")</f>
        <v/>
      </c>
      <c r="J10" s="15"/>
      <c r="L10" s="11" t="str">
        <f>IFERROR(IF(Tabela511127[[#This Row],[Entrega]]=K11,"",VLOOKUP(Tabela511127[[#This Row],[Entrega]],cálculos!$A$3:$B$7,2,0)),"")</f>
        <v/>
      </c>
      <c r="M10" s="12" t="str">
        <f>IFERROR(SUM(Tabela511127[[#This Row],[Subtotal]]*(1-Tabela511127[[#This Row],[Desconto]]),Tabela511127[[#This Row],[Valor de Entrega]]),"")</f>
        <v/>
      </c>
      <c r="N10" s="29" t="str">
        <f>IFERROR(IF(Tabela511127[[#This Row],[Id da Venda]]=C11,"",SUMIF(Tabela511127[Id da Venda],Tabela511127[[#This Row],[Id da Venda]],Tabela511127[Total])),"")</f>
        <v/>
      </c>
    </row>
    <row r="11" spans="3:14" x14ac:dyDescent="0.3">
      <c r="D11" s="26"/>
      <c r="F11" s="25" t="str">
        <f>IFERROR(VLOOKUP(Tabela511127[[#This Row],[Produto]],cálculos!$H$3:$K$26,4,0),"")</f>
        <v/>
      </c>
      <c r="H11" s="11" t="str">
        <f>IFERROR(VLOOKUP(Tabela511127[[#This Row],[Produto]],cálculos!$H$3:$K$26,3,0),"")</f>
        <v/>
      </c>
      <c r="I11" s="11" t="str">
        <f>IFERROR(Tabela511127[[#This Row],[Preço Unitário]]*Tabela511127[[#This Row],[Quantidade]],"")</f>
        <v/>
      </c>
      <c r="J11" s="15"/>
      <c r="L11" s="11" t="str">
        <f>IFERROR(IF(Tabela511127[[#This Row],[Entrega]]=K12,"",VLOOKUP(Tabela511127[[#This Row],[Entrega]],cálculos!$A$3:$B$7,2,0)),"")</f>
        <v/>
      </c>
      <c r="M11" s="12" t="str">
        <f>IFERROR(SUM(Tabela511127[[#This Row],[Subtotal]]*(1-Tabela511127[[#This Row],[Desconto]]),Tabela511127[[#This Row],[Valor de Entrega]]),"")</f>
        <v/>
      </c>
      <c r="N11" s="29" t="str">
        <f>IFERROR(IF(Tabela511127[[#This Row],[Id da Venda]]=C12,"",SUMIF(Tabela511127[Id da Venda],Tabela511127[[#This Row],[Id da Venda]],Tabela511127[Total])),"")</f>
        <v/>
      </c>
    </row>
    <row r="12" spans="3:14" x14ac:dyDescent="0.3">
      <c r="D12" s="26"/>
      <c r="F12" s="25" t="str">
        <f>IFERROR(VLOOKUP(Tabela511127[[#This Row],[Produto]],cálculos!$H$3:$K$26,4,0),"")</f>
        <v/>
      </c>
      <c r="H12" s="11" t="str">
        <f>IFERROR(VLOOKUP(Tabela511127[[#This Row],[Produto]],cálculos!$H$3:$K$26,3,0),"")</f>
        <v/>
      </c>
      <c r="I12" s="11" t="str">
        <f>IFERROR(Tabela511127[[#This Row],[Preço Unitário]]*Tabela511127[[#This Row],[Quantidade]],"")</f>
        <v/>
      </c>
      <c r="J12" s="15"/>
      <c r="L12" s="11" t="str">
        <f>IFERROR(IF(Tabela511127[[#This Row],[Entrega]]=K13,"",VLOOKUP(Tabela511127[[#This Row],[Entrega]],cálculos!$A$3:$B$7,2,0)),"")</f>
        <v/>
      </c>
      <c r="M12" s="12" t="str">
        <f>IFERROR(SUM(Tabela511127[[#This Row],[Subtotal]]*(1-Tabela511127[[#This Row],[Desconto]]),Tabela511127[[#This Row],[Valor de Entrega]]),"")</f>
        <v/>
      </c>
      <c r="N12" s="29" t="str">
        <f>IFERROR(IF(Tabela511127[[#This Row],[Id da Venda]]=C13,"",SUMIF(Tabela511127[Id da Venda],Tabela511127[[#This Row],[Id da Venda]],Tabela511127[Total])),"")</f>
        <v/>
      </c>
    </row>
    <row r="13" spans="3:14" x14ac:dyDescent="0.3">
      <c r="D13" s="26"/>
      <c r="F13" s="25" t="str">
        <f>IFERROR(VLOOKUP(Tabela511127[[#This Row],[Produto]],cálculos!$H$3:$K$26,4,0),"")</f>
        <v/>
      </c>
      <c r="H13" s="11" t="str">
        <f>IFERROR(VLOOKUP(Tabela511127[[#This Row],[Produto]],cálculos!$H$3:$K$26,3,0),"")</f>
        <v/>
      </c>
      <c r="I13" s="11" t="str">
        <f>IFERROR(Tabela511127[[#This Row],[Preço Unitário]]*Tabela511127[[#This Row],[Quantidade]],"")</f>
        <v/>
      </c>
      <c r="J13" s="15"/>
      <c r="L13" s="11" t="str">
        <f>IFERROR(IF(Tabela511127[[#This Row],[Entrega]]=K14,"",VLOOKUP(Tabela511127[[#This Row],[Entrega]],cálculos!$A$3:$B$7,2,0)),"")</f>
        <v/>
      </c>
      <c r="M13" s="12" t="str">
        <f>IFERROR(SUM(Tabela511127[[#This Row],[Subtotal]]*(1-Tabela511127[[#This Row],[Desconto]]),Tabela511127[[#This Row],[Valor de Entrega]]),"")</f>
        <v/>
      </c>
      <c r="N13" s="29" t="str">
        <f>IFERROR(IF(Tabela511127[[#This Row],[Id da Venda]]=C14,"",SUMIF(Tabela511127[Id da Venda],Tabela511127[[#This Row],[Id da Venda]],Tabela511127[Total])),"")</f>
        <v/>
      </c>
    </row>
    <row r="14" spans="3:14" x14ac:dyDescent="0.3">
      <c r="D14" s="26"/>
      <c r="F14" s="25" t="str">
        <f>IFERROR(VLOOKUP(Tabela511127[[#This Row],[Produto]],cálculos!$H$3:$K$26,4,0),"")</f>
        <v/>
      </c>
      <c r="H14" s="11" t="str">
        <f>IFERROR(VLOOKUP(Tabela511127[[#This Row],[Produto]],cálculos!$H$3:$K$26,3,0),"")</f>
        <v/>
      </c>
      <c r="I14" s="11" t="str">
        <f>IFERROR(Tabela511127[[#This Row],[Preço Unitário]]*Tabela511127[[#This Row],[Quantidade]],"")</f>
        <v/>
      </c>
      <c r="J14" s="15"/>
      <c r="L14" s="11" t="str">
        <f>IFERROR(IF(Tabela511127[[#This Row],[Entrega]]=K15,"",VLOOKUP(Tabela511127[[#This Row],[Entrega]],cálculos!$A$3:$B$7,2,0)),"")</f>
        <v/>
      </c>
      <c r="M14" s="12" t="str">
        <f>IFERROR(SUM(Tabela511127[[#This Row],[Subtotal]]*(1-Tabela511127[[#This Row],[Desconto]]),Tabela511127[[#This Row],[Valor de Entrega]]),"")</f>
        <v/>
      </c>
      <c r="N14" s="29" t="str">
        <f>IFERROR(IF(Tabela511127[[#This Row],[Id da Venda]]=C15,"",SUMIF(Tabela511127[Id da Venda],Tabela511127[[#This Row],[Id da Venda]],Tabela511127[Total])),"")</f>
        <v/>
      </c>
    </row>
    <row r="15" spans="3:14" x14ac:dyDescent="0.3">
      <c r="D15" s="26"/>
      <c r="F15" s="25" t="str">
        <f>IFERROR(VLOOKUP(Tabela511127[[#This Row],[Produto]],cálculos!$H$3:$K$26,4,0),"")</f>
        <v/>
      </c>
      <c r="H15" s="11" t="str">
        <f>IFERROR(VLOOKUP(Tabela511127[[#This Row],[Produto]],cálculos!$H$3:$K$26,3,0),"")</f>
        <v/>
      </c>
      <c r="I15" s="11" t="str">
        <f>IFERROR(Tabela511127[[#This Row],[Preço Unitário]]*Tabela511127[[#This Row],[Quantidade]],"")</f>
        <v/>
      </c>
      <c r="J15" s="15"/>
      <c r="L15" s="11" t="str">
        <f>IFERROR(IF(Tabela511127[[#This Row],[Entrega]]=K16,"",VLOOKUP(Tabela511127[[#This Row],[Entrega]],cálculos!$A$3:$B$7,2,0)),"")</f>
        <v/>
      </c>
      <c r="M15" s="12" t="str">
        <f>IFERROR(SUM(Tabela511127[[#This Row],[Subtotal]]*(1-Tabela511127[[#This Row],[Desconto]]),Tabela511127[[#This Row],[Valor de Entrega]]),"")</f>
        <v/>
      </c>
      <c r="N15" s="29" t="str">
        <f>IFERROR(IF(Tabela511127[[#This Row],[Id da Venda]]=C16,"",SUMIF(Tabela511127[Id da Venda],Tabela511127[[#This Row],[Id da Venda]],Tabela511127[Total])),"")</f>
        <v/>
      </c>
    </row>
    <row r="16" spans="3:14" x14ac:dyDescent="0.3">
      <c r="D16" s="26"/>
      <c r="F16" s="25" t="str">
        <f>IFERROR(VLOOKUP(Tabela511127[[#This Row],[Produto]],cálculos!$H$3:$K$26,4,0),"")</f>
        <v/>
      </c>
      <c r="H16" s="11" t="str">
        <f>IFERROR(VLOOKUP(Tabela511127[[#This Row],[Produto]],cálculos!$H$3:$K$26,3,0),"")</f>
        <v/>
      </c>
      <c r="I16" s="11" t="str">
        <f>IFERROR(Tabela511127[[#This Row],[Preço Unitário]]*Tabela511127[[#This Row],[Quantidade]],"")</f>
        <v/>
      </c>
      <c r="J16" s="15"/>
      <c r="L16" s="11" t="str">
        <f>IFERROR(IF(Tabela511127[[#This Row],[Entrega]]=K17,"",VLOOKUP(Tabela511127[[#This Row],[Entrega]],cálculos!$A$3:$B$7,2,0)),"")</f>
        <v/>
      </c>
      <c r="M16" s="12" t="str">
        <f>IFERROR(SUM(Tabela511127[[#This Row],[Subtotal]]*(1-Tabela511127[[#This Row],[Desconto]]),Tabela511127[[#This Row],[Valor de Entrega]]),"")</f>
        <v/>
      </c>
      <c r="N16" s="29" t="str">
        <f>IFERROR(IF(Tabela511127[[#This Row],[Id da Venda]]=C17,"",SUMIF(Tabela511127[Id da Venda],Tabela511127[[#This Row],[Id da Venda]],Tabela511127[Total])),"")</f>
        <v/>
      </c>
    </row>
    <row r="17" spans="3:14" x14ac:dyDescent="0.3">
      <c r="D17" s="26"/>
      <c r="F17" s="25" t="str">
        <f>IFERROR(VLOOKUP(Tabela511127[[#This Row],[Produto]],cálculos!$H$3:$K$26,4,0),"")</f>
        <v/>
      </c>
      <c r="H17" s="11" t="str">
        <f>IFERROR(VLOOKUP(Tabela511127[[#This Row],[Produto]],cálculos!$H$3:$K$26,3,0),"")</f>
        <v/>
      </c>
      <c r="I17" s="11" t="str">
        <f>IFERROR(Tabela511127[[#This Row],[Preço Unitário]]*Tabela511127[[#This Row],[Quantidade]],"")</f>
        <v/>
      </c>
      <c r="J17" s="15"/>
      <c r="L17" s="11" t="str">
        <f>IFERROR(IF(Tabela511127[[#This Row],[Entrega]]=K18,"",VLOOKUP(Tabela511127[[#This Row],[Entrega]],cálculos!$A$3:$B$7,2,0)),"")</f>
        <v/>
      </c>
      <c r="M17" s="12" t="str">
        <f>IFERROR(SUM(Tabela511127[[#This Row],[Subtotal]]*(1-Tabela511127[[#This Row],[Desconto]]),Tabela511127[[#This Row],[Valor de Entrega]]),"")</f>
        <v/>
      </c>
      <c r="N17" s="29" t="str">
        <f>IFERROR(IF(Tabela511127[[#This Row],[Id da Venda]]=C18,"",SUMIF(Tabela511127[Id da Venda],Tabela511127[[#This Row],[Id da Venda]],Tabela511127[Total])),"")</f>
        <v/>
      </c>
    </row>
    <row r="18" spans="3:14" x14ac:dyDescent="0.3">
      <c r="D18" s="26"/>
      <c r="F18" s="27" t="str">
        <f>IFERROR(VLOOKUP(Tabela511127[[#This Row],[Produto]],cálculos!$H$3:$K$26,4,0),"")</f>
        <v/>
      </c>
      <c r="H18" s="11" t="str">
        <f>IFERROR(VLOOKUP(Tabela511127[[#This Row],[Produto]],cálculos!$H$3:$K$26,3,0),"")</f>
        <v/>
      </c>
      <c r="I18" s="11" t="str">
        <f>IFERROR(Tabela511127[[#This Row],[Preço Unitário]]*Tabela511127[[#This Row],[Quantidade]],"")</f>
        <v/>
      </c>
      <c r="J18" s="15"/>
      <c r="L18" s="11" t="str">
        <f>IFERROR(IF(Tabela511127[[#This Row],[Entrega]]=K19,"",VLOOKUP(Tabela511127[[#This Row],[Entrega]],cálculos!$A$3:$B$7,2,0)),"")</f>
        <v/>
      </c>
      <c r="M18" s="12" t="str">
        <f>IFERROR(SUM(Tabela511127[[#This Row],[Subtotal]]*(1-Tabela511127[[#This Row],[Desconto]]),Tabela511127[[#This Row],[Valor de Entrega]]),"")</f>
        <v/>
      </c>
      <c r="N18" s="29" t="str">
        <f>IFERROR(IF(Tabela511127[[#This Row],[Id da Venda]]=C19,"",SUMIF(Tabela511127[Id da Venda],Tabela511127[[#This Row],[Id da Venda]],Tabela511127[Total])),"")</f>
        <v/>
      </c>
    </row>
    <row r="19" spans="3:14" x14ac:dyDescent="0.3">
      <c r="D19" s="26"/>
      <c r="F19" s="27" t="str">
        <f>IFERROR(VLOOKUP(Tabela511127[[#This Row],[Produto]],cálculos!$H$3:$K$26,4,0),"")</f>
        <v/>
      </c>
      <c r="H19" s="11" t="str">
        <f>IFERROR(VLOOKUP(Tabela511127[[#This Row],[Produto]],cálculos!$H$3:$K$26,3,0),"")</f>
        <v/>
      </c>
      <c r="I19" s="11" t="str">
        <f>IFERROR(Tabela511127[[#This Row],[Preço Unitário]]*Tabela511127[[#This Row],[Quantidade]],"")</f>
        <v/>
      </c>
      <c r="J19" s="15"/>
      <c r="L19" s="11" t="str">
        <f>IFERROR(IF(Tabela511127[[#This Row],[Entrega]]=K20,"",VLOOKUP(Tabela511127[[#This Row],[Entrega]],cálculos!$A$3:$B$7,2,0)),"")</f>
        <v/>
      </c>
      <c r="M19" s="12" t="str">
        <f>IFERROR(SUM(Tabela511127[[#This Row],[Subtotal]]*(1-Tabela511127[[#This Row],[Desconto]]),Tabela511127[[#This Row],[Valor de Entrega]]),"")</f>
        <v/>
      </c>
      <c r="N19" s="29" t="str">
        <f>IFERROR(IF(Tabela511127[[#This Row],[Id da Venda]]=C20,"",SUMIF(Tabela511127[Id da Venda],Tabela511127[[#This Row],[Id da Venda]],Tabela511127[Total])),"")</f>
        <v/>
      </c>
    </row>
    <row r="20" spans="3:14" x14ac:dyDescent="0.3">
      <c r="D20" s="26"/>
      <c r="F20" s="27" t="str">
        <f>IFERROR(VLOOKUP(Tabela511127[[#This Row],[Produto]],cálculos!$H$3:$K$26,4,0),"")</f>
        <v/>
      </c>
      <c r="H20" s="11" t="str">
        <f>IFERROR(VLOOKUP(Tabela511127[[#This Row],[Produto]],cálculos!$H$3:$K$26,3,0),"")</f>
        <v/>
      </c>
      <c r="I20" s="11" t="str">
        <f>IFERROR(Tabela511127[[#This Row],[Preço Unitário]]*Tabela511127[[#This Row],[Quantidade]],"")</f>
        <v/>
      </c>
      <c r="J20" s="15"/>
      <c r="L20" s="11" t="str">
        <f>IFERROR(IF(Tabela511127[[#This Row],[Entrega]]=K21,"",VLOOKUP(Tabela511127[[#This Row],[Entrega]],cálculos!$A$3:$B$7,2,0)),"")</f>
        <v/>
      </c>
      <c r="M20" s="12" t="str">
        <f>IFERROR(SUM(Tabela511127[[#This Row],[Subtotal]]*(1-Tabela511127[[#This Row],[Desconto]]),Tabela511127[[#This Row],[Valor de Entrega]]),"")</f>
        <v/>
      </c>
      <c r="N20" s="29" t="str">
        <f>IFERROR(IF(Tabela511127[[#This Row],[Id da Venda]]=C21,"",SUMIF(Tabela511127[Id da Venda],Tabela511127[[#This Row],[Id da Venda]],Tabela511127[Total])),"")</f>
        <v/>
      </c>
    </row>
    <row r="21" spans="3:14" x14ac:dyDescent="0.3">
      <c r="D21" s="26"/>
      <c r="F21" s="27" t="str">
        <f>IFERROR(VLOOKUP(Tabela511127[[#This Row],[Produto]],cálculos!$H$3:$K$26,4,0),"")</f>
        <v/>
      </c>
      <c r="H21" s="11" t="str">
        <f>IFERROR(VLOOKUP(Tabela511127[[#This Row],[Produto]],cálculos!$H$3:$K$26,3,0),"")</f>
        <v/>
      </c>
      <c r="I21" s="11" t="str">
        <f>IFERROR(Tabela511127[[#This Row],[Preço Unitário]]*Tabela511127[[#This Row],[Quantidade]],"")</f>
        <v/>
      </c>
      <c r="J21" s="15"/>
      <c r="L21" s="11" t="str">
        <f>IFERROR(IF(Tabela511127[[#This Row],[Entrega]]=K22,"",VLOOKUP(Tabela511127[[#This Row],[Entrega]],cálculos!$A$3:$B$7,2,0)),"")</f>
        <v/>
      </c>
      <c r="M21" s="12" t="str">
        <f>IFERROR(SUM(Tabela511127[[#This Row],[Subtotal]]*(1-Tabela511127[[#This Row],[Desconto]]),Tabela511127[[#This Row],[Valor de Entrega]]),"")</f>
        <v/>
      </c>
      <c r="N21" s="29" t="str">
        <f>IFERROR(IF(Tabela511127[[#This Row],[Id da Venda]]=C22,"",SUMIF(Tabela511127[Id da Venda],Tabela511127[[#This Row],[Id da Venda]],Tabela511127[Total])),"")</f>
        <v/>
      </c>
    </row>
    <row r="22" spans="3:14" x14ac:dyDescent="0.3">
      <c r="D22" s="26"/>
      <c r="F22" s="27" t="str">
        <f>IFERROR(VLOOKUP(Tabela511127[[#This Row],[Produto]],cálculos!$H$3:$K$26,4,0),"")</f>
        <v/>
      </c>
      <c r="H22" s="11" t="str">
        <f>IFERROR(VLOOKUP(Tabela511127[[#This Row],[Produto]],cálculos!$H$3:$K$26,3,0),"")</f>
        <v/>
      </c>
      <c r="I22" s="11" t="str">
        <f>IFERROR(Tabela511127[[#This Row],[Preço Unitário]]*Tabela511127[[#This Row],[Quantidade]],"")</f>
        <v/>
      </c>
      <c r="J22" s="15"/>
      <c r="L22" s="11" t="str">
        <f>IFERROR(IF(Tabela511127[[#This Row],[Entrega]]=K23,"",VLOOKUP(Tabela511127[[#This Row],[Entrega]],cálculos!$A$3:$B$7,2,0)),"")</f>
        <v/>
      </c>
      <c r="M22" s="12" t="str">
        <f>IFERROR(SUM(Tabela511127[[#This Row],[Subtotal]]*(1-Tabela511127[[#This Row],[Desconto]]),Tabela511127[[#This Row],[Valor de Entrega]]),"")</f>
        <v/>
      </c>
      <c r="N22" s="29" t="str">
        <f>IFERROR(IF(Tabela511127[[#This Row],[Id da Venda]]=C23,"",SUMIF(Tabela511127[Id da Venda],Tabela511127[[#This Row],[Id da Venda]],Tabela511127[Total])),"")</f>
        <v/>
      </c>
    </row>
    <row r="23" spans="3:14" x14ac:dyDescent="0.3">
      <c r="D23" s="26"/>
      <c r="F23" s="27" t="str">
        <f>IFERROR(VLOOKUP(Tabela511127[[#This Row],[Produto]],cálculos!$H$3:$K$26,4,0),"")</f>
        <v/>
      </c>
      <c r="H23" s="11" t="str">
        <f>IFERROR(VLOOKUP(Tabela511127[[#This Row],[Produto]],cálculos!$H$3:$K$26,3,0),"")</f>
        <v/>
      </c>
      <c r="I23" s="11" t="str">
        <f>IFERROR(Tabela511127[[#This Row],[Preço Unitário]]*Tabela511127[[#This Row],[Quantidade]],"")</f>
        <v/>
      </c>
      <c r="J23" s="15"/>
      <c r="L23" s="11" t="str">
        <f>IFERROR(IF(Tabela511127[[#This Row],[Entrega]]=K24,"",VLOOKUP(Tabela511127[[#This Row],[Entrega]],cálculos!$A$3:$B$7,2,0)),"")</f>
        <v/>
      </c>
      <c r="M23" s="12" t="str">
        <f>IFERROR(SUM(Tabela511127[[#This Row],[Subtotal]]*(1-Tabela511127[[#This Row],[Desconto]]),Tabela511127[[#This Row],[Valor de Entrega]]),"")</f>
        <v/>
      </c>
      <c r="N23" s="29" t="str">
        <f>IFERROR(IF(Tabela511127[[#This Row],[Id da Venda]]=C24,"",SUMIF(Tabela511127[Id da Venda],Tabela511127[[#This Row],[Id da Venda]],Tabela511127[Total])),"")</f>
        <v/>
      </c>
    </row>
    <row r="24" spans="3:14" x14ac:dyDescent="0.3">
      <c r="D24" s="26"/>
      <c r="F24" s="27" t="str">
        <f>IFERROR(VLOOKUP(Tabela511127[[#This Row],[Produto]],cálculos!$H$3:$K$26,4,0),"")</f>
        <v/>
      </c>
      <c r="H24" s="11" t="str">
        <f>IFERROR(VLOOKUP(Tabela511127[[#This Row],[Produto]],cálculos!$H$3:$K$26,3,0),"")</f>
        <v/>
      </c>
      <c r="I24" s="11" t="str">
        <f>IFERROR(Tabela511127[[#This Row],[Preço Unitário]]*Tabela511127[[#This Row],[Quantidade]],"")</f>
        <v/>
      </c>
      <c r="J24" s="15"/>
      <c r="L24" s="11" t="str">
        <f>IFERROR(IF(Tabela511127[[#This Row],[Entrega]]=K25,"",VLOOKUP(Tabela511127[[#This Row],[Entrega]],cálculos!$A$3:$B$7,2,0)),"")</f>
        <v/>
      </c>
      <c r="M24" s="12" t="str">
        <f>IFERROR(SUM(Tabela511127[[#This Row],[Subtotal]]*(1-Tabela511127[[#This Row],[Desconto]]),Tabela511127[[#This Row],[Valor de Entrega]]),"")</f>
        <v/>
      </c>
      <c r="N24" s="29" t="str">
        <f>IFERROR(IF(Tabela511127[[#This Row],[Id da Venda]]=C25,"",SUMIF(Tabela511127[Id da Venda],Tabela511127[[#This Row],[Id da Venda]],Tabela511127[Total])),"")</f>
        <v/>
      </c>
    </row>
    <row r="25" spans="3:14" x14ac:dyDescent="0.3">
      <c r="D25" s="26"/>
      <c r="F25" s="27" t="str">
        <f>IFERROR(VLOOKUP(Tabela511127[[#This Row],[Produto]],cálculos!$H$3:$K$26,4,0),"")</f>
        <v/>
      </c>
      <c r="H25" s="11" t="str">
        <f>IFERROR(VLOOKUP(Tabela511127[[#This Row],[Produto]],cálculos!$H$3:$K$26,3,0),"")</f>
        <v/>
      </c>
      <c r="I25" s="11" t="str">
        <f>IFERROR(Tabela511127[[#This Row],[Preço Unitário]]*Tabela511127[[#This Row],[Quantidade]],"")</f>
        <v/>
      </c>
      <c r="J25" s="15"/>
      <c r="L25" s="11" t="str">
        <f>IFERROR(IF(Tabela511127[[#This Row],[Entrega]]=K26,"",VLOOKUP(Tabela511127[[#This Row],[Entrega]],cálculos!$A$3:$B$7,2,0)),"")</f>
        <v/>
      </c>
      <c r="M25" s="12" t="str">
        <f>IFERROR(SUM(Tabela511127[[#This Row],[Subtotal]]*(1-Tabela511127[[#This Row],[Desconto]]),Tabela511127[[#This Row],[Valor de Entrega]]),"")</f>
        <v/>
      </c>
      <c r="N25" s="29" t="str">
        <f>IFERROR(IF(Tabela511127[[#This Row],[Id da Venda]]=C26,"",SUMIF(Tabela511127[Id da Venda],Tabela511127[[#This Row],[Id da Venda]],Tabela511127[Total])),"")</f>
        <v/>
      </c>
    </row>
    <row r="26" spans="3:14" x14ac:dyDescent="0.3">
      <c r="D26" s="26"/>
      <c r="F26" s="27" t="str">
        <f>IFERROR(VLOOKUP(Tabela511127[[#This Row],[Produto]],cálculos!$H$3:$K$26,4,0),"")</f>
        <v/>
      </c>
      <c r="H26" s="11" t="str">
        <f>IFERROR(VLOOKUP(Tabela511127[[#This Row],[Produto]],cálculos!$H$3:$K$26,3,0),"")</f>
        <v/>
      </c>
      <c r="I26" s="11" t="str">
        <f>IFERROR(Tabela511127[[#This Row],[Preço Unitário]]*Tabela511127[[#This Row],[Quantidade]],"")</f>
        <v/>
      </c>
      <c r="J26" s="15"/>
      <c r="L26" s="11" t="str">
        <f>IFERROR(IF(Tabela511127[[#This Row],[Entrega]]=K27,"",VLOOKUP(Tabela511127[[#This Row],[Entrega]],cálculos!$A$3:$B$7,2,0)),"")</f>
        <v/>
      </c>
      <c r="M26" s="12" t="str">
        <f>IFERROR(SUM(Tabela511127[[#This Row],[Subtotal]]*(1-Tabela511127[[#This Row],[Desconto]]),Tabela511127[[#This Row],[Valor de Entrega]]),"")</f>
        <v/>
      </c>
      <c r="N26" s="29" t="str">
        <f>IFERROR(IF(Tabela511127[[#This Row],[Id da Venda]]=C27,"",SUMIF(Tabela511127[Id da Venda],Tabela511127[[#This Row],[Id da Venda]],Tabela511127[Total])),"")</f>
        <v/>
      </c>
    </row>
    <row r="27" spans="3:14" x14ac:dyDescent="0.3">
      <c r="D27" s="26"/>
      <c r="F27" s="27" t="str">
        <f>IFERROR(VLOOKUP(Tabela511127[[#This Row],[Produto]],cálculos!$H$3:$K$26,4,0),"")</f>
        <v/>
      </c>
      <c r="H27" s="11" t="str">
        <f>IFERROR(VLOOKUP(Tabela511127[[#This Row],[Produto]],cálculos!$H$3:$K$26,3,0),"")</f>
        <v/>
      </c>
      <c r="I27" s="11" t="str">
        <f>IFERROR(Tabela511127[[#This Row],[Preço Unitário]]*Tabela511127[[#This Row],[Quantidade]],"")</f>
        <v/>
      </c>
      <c r="J27" s="15"/>
      <c r="L27" s="11" t="str">
        <f>IFERROR(IF(Tabela511127[[#This Row],[Entrega]]=K28,"",VLOOKUP(Tabela511127[[#This Row],[Entrega]],cálculos!$A$3:$B$7,2,0)),"")</f>
        <v/>
      </c>
      <c r="M27" s="12" t="str">
        <f>IFERROR(SUM(Tabela511127[[#This Row],[Subtotal]]*(1-Tabela511127[[#This Row],[Desconto]]),Tabela511127[[#This Row],[Valor de Entrega]]),"")</f>
        <v/>
      </c>
      <c r="N27" s="29" t="str">
        <f>IFERROR(IF(Tabela511127[[#This Row],[Id da Venda]]=C28,"",SUMIF(Tabela511127[Id da Venda],Tabela511127[[#This Row],[Id da Venda]],Tabela511127[Total])),"")</f>
        <v/>
      </c>
    </row>
    <row r="28" spans="3:14" x14ac:dyDescent="0.3">
      <c r="D28" s="26"/>
      <c r="F28" s="27" t="str">
        <f>IFERROR(VLOOKUP(Tabela511127[[#This Row],[Produto]],cálculos!$H$3:$K$26,4,0),"")</f>
        <v/>
      </c>
      <c r="H28" s="11" t="str">
        <f>IFERROR(VLOOKUP(Tabela511127[[#This Row],[Produto]],cálculos!$H$3:$K$26,3,0),"")</f>
        <v/>
      </c>
      <c r="I28" s="11" t="str">
        <f>IFERROR(Tabela511127[[#This Row],[Preço Unitário]]*Tabela511127[[#This Row],[Quantidade]],"")</f>
        <v/>
      </c>
      <c r="J28" s="15"/>
      <c r="L28" s="11" t="str">
        <f>IFERROR(IF(Tabela511127[[#This Row],[Entrega]]=K29,"",VLOOKUP(Tabela511127[[#This Row],[Entrega]],cálculos!$A$3:$B$7,2,0)),"")</f>
        <v/>
      </c>
      <c r="M28" s="12" t="str">
        <f>IFERROR(SUM(Tabela511127[[#This Row],[Subtotal]]*(1-Tabela511127[[#This Row],[Desconto]]),Tabela511127[[#This Row],[Valor de Entrega]]),"")</f>
        <v/>
      </c>
      <c r="N28" s="29" t="str">
        <f>IFERROR(IF(Tabela511127[[#This Row],[Id da Venda]]=C29,"",SUMIF(Tabela511127[Id da Venda],Tabela511127[[#This Row],[Id da Venda]],Tabela511127[Total])),"")</f>
        <v/>
      </c>
    </row>
    <row r="29" spans="3:14" x14ac:dyDescent="0.3">
      <c r="D29" s="26"/>
      <c r="F29" s="27" t="str">
        <f>IFERROR(VLOOKUP(Tabela511127[[#This Row],[Produto]],cálculos!$H$3:$K$26,4,0),"")</f>
        <v/>
      </c>
      <c r="H29" s="11" t="str">
        <f>IFERROR(VLOOKUP(Tabela511127[[#This Row],[Produto]],cálculos!$H$3:$K$26,3,0),"")</f>
        <v/>
      </c>
      <c r="I29" s="11" t="str">
        <f>IFERROR(Tabela511127[[#This Row],[Preço Unitário]]*Tabela511127[[#This Row],[Quantidade]],"")</f>
        <v/>
      </c>
      <c r="J29" s="15"/>
      <c r="L29" s="11" t="str">
        <f>IFERROR(IF(Tabela511127[[#This Row],[Entrega]]=K30,"",VLOOKUP(Tabela511127[[#This Row],[Entrega]],cálculos!$A$3:$B$7,2,0)),"")</f>
        <v/>
      </c>
      <c r="M29" s="12" t="str">
        <f>IFERROR(SUM(Tabela511127[[#This Row],[Subtotal]]*(1-Tabela511127[[#This Row],[Desconto]]),Tabela511127[[#This Row],[Valor de Entrega]]),"")</f>
        <v/>
      </c>
      <c r="N29" s="29">
        <f>IFERROR(IF(Tabela511127[[#This Row],[Id da Venda]]=C30,"",SUMIF(Tabela511127[Id da Venda],Tabela511127[[#This Row],[Id da Venda]],Tabela511127[Total])),"")</f>
        <v>0</v>
      </c>
    </row>
    <row r="30" spans="3:14" x14ac:dyDescent="0.3">
      <c r="C30" s="25" t="s">
        <v>54</v>
      </c>
      <c r="H30" s="27"/>
      <c r="I30" s="27"/>
      <c r="J30" s="27"/>
      <c r="L30" s="12">
        <f>SUBTOTAL(109,Tabela511127[Valor de Entrega])</f>
        <v>0</v>
      </c>
      <c r="N30" s="29">
        <f>SUBTOTAL(109,Tabela511127[Total para o Cliente])</f>
        <v>0</v>
      </c>
    </row>
    <row r="31" spans="3:14" ht="15" thickBot="1" x14ac:dyDescent="0.35"/>
    <row r="32" spans="3:14" ht="19.2" thickTop="1" thickBot="1" x14ac:dyDescent="0.4">
      <c r="C32" s="65" t="s">
        <v>130</v>
      </c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5" cm="1">
        <f t="array" ref="N32">SUM(IF(FREQUENCY(Tabela511127[Id da Venda],Tabela511127[Id da Venda])&gt;0,1,0))</f>
        <v>0</v>
      </c>
    </row>
    <row r="33" ht="15" thickTop="1" x14ac:dyDescent="0.3"/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D7DF899-2DCC-4122-AEF6-E149B999649F}">
          <x14:formula1>
            <xm:f>cálculos!$H$3:$H$26</xm:f>
          </x14:formula1>
          <xm:sqref>E5:E29</xm:sqref>
        </x14:dataValidation>
        <x14:dataValidation type="list" allowBlank="1" showInputMessage="1" showErrorMessage="1" xr:uid="{38F0873B-2B94-4863-8099-A96C71E81430}">
          <x14:formula1>
            <xm:f>cálculos!$A$3:$A$7</xm:f>
          </x14:formula1>
          <xm:sqref>K5:K29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FF595-6FB5-4921-9E24-E79197D0DC0B}">
  <sheetPr codeName="Planilha12"/>
  <dimension ref="C2:N33"/>
  <sheetViews>
    <sheetView showGridLines="0" workbookViewId="0">
      <selection activeCell="A16" sqref="A16"/>
    </sheetView>
  </sheetViews>
  <sheetFormatPr defaultRowHeight="14.4" x14ac:dyDescent="0.3"/>
  <cols>
    <col min="1" max="2" width="8.88671875" style="25"/>
    <col min="3" max="3" width="12.44140625" style="25" customWidth="1"/>
    <col min="4" max="4" width="10.5546875" style="25" bestFit="1" customWidth="1"/>
    <col min="5" max="5" width="9.44140625" style="25" customWidth="1"/>
    <col min="6" max="6" width="9" style="25" customWidth="1"/>
    <col min="7" max="7" width="12.33203125" style="25" customWidth="1"/>
    <col min="8" max="8" width="14.6640625" style="25" customWidth="1"/>
    <col min="9" max="9" width="10.33203125" style="25" bestFit="1" customWidth="1"/>
    <col min="10" max="10" width="10.6640625" style="25" customWidth="1"/>
    <col min="11" max="11" width="9.109375" style="25" customWidth="1"/>
    <col min="12" max="12" width="16.33203125" style="25" customWidth="1"/>
    <col min="13" max="13" width="10.33203125" style="25" bestFit="1" customWidth="1"/>
    <col min="14" max="14" width="18.88671875" style="25" customWidth="1"/>
    <col min="15" max="16384" width="8.88671875" style="25"/>
  </cols>
  <sheetData>
    <row r="2" spans="3:14" s="28" customFormat="1" ht="28.05" customHeight="1" x14ac:dyDescent="0.3">
      <c r="C2" s="28" t="s">
        <v>118</v>
      </c>
    </row>
    <row r="3" spans="3:14" ht="24.6" customHeight="1" x14ac:dyDescent="0.3"/>
    <row r="4" spans="3:14" x14ac:dyDescent="0.3">
      <c r="C4" s="25" t="s">
        <v>111</v>
      </c>
      <c r="D4" s="25" t="s">
        <v>42</v>
      </c>
      <c r="E4" s="25" t="s">
        <v>105</v>
      </c>
      <c r="F4" s="25" t="s">
        <v>68</v>
      </c>
      <c r="G4" s="25" t="s">
        <v>62</v>
      </c>
      <c r="H4" s="25" t="s">
        <v>59</v>
      </c>
      <c r="I4" s="25" t="s">
        <v>112</v>
      </c>
      <c r="J4" s="25" t="s">
        <v>60</v>
      </c>
      <c r="K4" s="25" t="s">
        <v>113</v>
      </c>
      <c r="L4" s="25" t="s">
        <v>114</v>
      </c>
      <c r="M4" s="25" t="s">
        <v>54</v>
      </c>
      <c r="N4" s="25" t="s">
        <v>115</v>
      </c>
    </row>
    <row r="5" spans="3:14" x14ac:dyDescent="0.3">
      <c r="D5" s="26"/>
      <c r="F5" s="27" t="str">
        <f>IFERROR(VLOOKUP(Tabela511128[[#This Row],[Produto]],cálculos!$H$3:$K$26,4,0),"")</f>
        <v/>
      </c>
      <c r="H5" s="11" t="str">
        <f>IFERROR(VLOOKUP(Tabela511128[[#This Row],[Produto]],cálculos!$H$3:$K$26,3,0),"")</f>
        <v/>
      </c>
      <c r="I5" s="11" t="str">
        <f>IFERROR(Tabela511128[[#This Row],[Preço Unitário]]*Tabela511128[[#This Row],[Quantidade]],"")</f>
        <v/>
      </c>
      <c r="J5" s="15"/>
      <c r="L5" s="11" t="str">
        <f>IFERROR(IF(Tabela511128[[#This Row],[Entrega]]=K6,"",VLOOKUP(Tabela511128[[#This Row],[Entrega]],cálculos!$A$3:$B$7,2,0)),"")</f>
        <v/>
      </c>
      <c r="M5" s="12" t="str">
        <f>IFERROR(SUM(Tabela511128[[#This Row],[Subtotal]]*(1-Tabela511128[[#This Row],[Desconto]]),Tabela511128[[#This Row],[Valor de Entrega]]),"")</f>
        <v/>
      </c>
      <c r="N5" s="29" t="str">
        <f>IFERROR(IF(Tabela511128[[#This Row],[Id da Venda]]=C6,"",SUMIF(Tabela511128[Id da Venda],Tabela511128[[#This Row],[Id da Venda]],Tabela511128[Total])),"")</f>
        <v/>
      </c>
    </row>
    <row r="6" spans="3:14" x14ac:dyDescent="0.3">
      <c r="D6" s="26"/>
      <c r="F6" s="25" t="str">
        <f>IFERROR(VLOOKUP(Tabela511128[[#This Row],[Produto]],cálculos!$H$3:$K$26,4,0),"")</f>
        <v/>
      </c>
      <c r="H6" s="11" t="str">
        <f>IFERROR(VLOOKUP(Tabela511128[[#This Row],[Produto]],cálculos!$H$3:$K$26,3,0),"")</f>
        <v/>
      </c>
      <c r="I6" s="11" t="str">
        <f>IFERROR(Tabela511128[[#This Row],[Preço Unitário]]*Tabela511128[[#This Row],[Quantidade]],"")</f>
        <v/>
      </c>
      <c r="J6" s="15"/>
      <c r="L6" s="11" t="str">
        <f>IFERROR(IF(Tabela511128[[#This Row],[Entrega]]=K7,"",VLOOKUP(Tabela511128[[#This Row],[Entrega]],cálculos!$A$3:$B$7,2,0)),"")</f>
        <v/>
      </c>
      <c r="M6" s="12" t="str">
        <f>IFERROR(SUM(Tabela511128[[#This Row],[Subtotal]]*(1-Tabela511128[[#This Row],[Desconto]]),Tabela511128[[#This Row],[Valor de Entrega]]),"")</f>
        <v/>
      </c>
      <c r="N6" s="29" t="str">
        <f>IFERROR(IF(Tabela511128[[#This Row],[Id da Venda]]=C7,"",SUMIF(Tabela511128[Id da Venda],Tabela511128[[#This Row],[Id da Venda]],Tabela511128[Total])),"")</f>
        <v/>
      </c>
    </row>
    <row r="7" spans="3:14" x14ac:dyDescent="0.3">
      <c r="D7" s="26"/>
      <c r="F7" s="25" t="str">
        <f>IFERROR(VLOOKUP(Tabela511128[[#This Row],[Produto]],cálculos!$H$3:$K$26,4,0),"")</f>
        <v/>
      </c>
      <c r="H7" s="11" t="str">
        <f>IFERROR(VLOOKUP(Tabela511128[[#This Row],[Produto]],cálculos!$H$3:$K$26,3,0),"")</f>
        <v/>
      </c>
      <c r="I7" s="11" t="str">
        <f>IFERROR(Tabela511128[[#This Row],[Preço Unitário]]*Tabela511128[[#This Row],[Quantidade]],"")</f>
        <v/>
      </c>
      <c r="J7" s="15"/>
      <c r="L7" s="11" t="str">
        <f>IFERROR(IF(Tabela511128[[#This Row],[Entrega]]=K8,"",VLOOKUP(Tabela511128[[#This Row],[Entrega]],cálculos!$A$3:$B$7,2,0)),"")</f>
        <v/>
      </c>
      <c r="M7" s="12" t="str">
        <f>IFERROR(SUM(Tabela511128[[#This Row],[Subtotal]]*(1-Tabela511128[[#This Row],[Desconto]]),Tabela511128[[#This Row],[Valor de Entrega]]),"")</f>
        <v/>
      </c>
      <c r="N7" s="29" t="str">
        <f>IFERROR(IF(Tabela511128[[#This Row],[Id da Venda]]=C8,"",SUMIF(Tabela511128[Id da Venda],Tabela511128[[#This Row],[Id da Venda]],Tabela511128[Total])),"")</f>
        <v/>
      </c>
    </row>
    <row r="8" spans="3:14" x14ac:dyDescent="0.3">
      <c r="D8" s="26"/>
      <c r="F8" s="25" t="str">
        <f>IFERROR(VLOOKUP(Tabela511128[[#This Row],[Produto]],cálculos!$H$3:$K$26,4,0),"")</f>
        <v/>
      </c>
      <c r="H8" s="11" t="str">
        <f>IFERROR(VLOOKUP(Tabela511128[[#This Row],[Produto]],cálculos!$H$3:$K$26,3,0),"")</f>
        <v/>
      </c>
      <c r="I8" s="11" t="str">
        <f>IFERROR(Tabela511128[[#This Row],[Preço Unitário]]*Tabela511128[[#This Row],[Quantidade]],"")</f>
        <v/>
      </c>
      <c r="J8" s="15"/>
      <c r="L8" s="11" t="str">
        <f>IFERROR(IF(Tabela511128[[#This Row],[Entrega]]=K9,"",VLOOKUP(Tabela511128[[#This Row],[Entrega]],cálculos!$A$3:$B$7,2,0)),"")</f>
        <v/>
      </c>
      <c r="M8" s="12" t="str">
        <f>IFERROR(SUM(Tabela511128[[#This Row],[Subtotal]]*(1-Tabela511128[[#This Row],[Desconto]]),Tabela511128[[#This Row],[Valor de Entrega]]),"")</f>
        <v/>
      </c>
      <c r="N8" s="29" t="str">
        <f>IFERROR(IF(Tabela511128[[#This Row],[Id da Venda]]=C9,"",SUMIF(Tabela511128[Id da Venda],Tabela511128[[#This Row],[Id da Venda]],Tabela511128[Total])),"")</f>
        <v/>
      </c>
    </row>
    <row r="9" spans="3:14" x14ac:dyDescent="0.3">
      <c r="D9" s="26"/>
      <c r="F9" s="25" t="str">
        <f>IFERROR(VLOOKUP(Tabela511128[[#This Row],[Produto]],cálculos!$H$3:$K$26,4,0),"")</f>
        <v/>
      </c>
      <c r="H9" s="11" t="str">
        <f>IFERROR(VLOOKUP(Tabela511128[[#This Row],[Produto]],cálculos!$H$3:$K$26,3,0),"")</f>
        <v/>
      </c>
      <c r="I9" s="11" t="str">
        <f>IFERROR(Tabela511128[[#This Row],[Preço Unitário]]*Tabela511128[[#This Row],[Quantidade]],"")</f>
        <v/>
      </c>
      <c r="J9" s="15"/>
      <c r="L9" s="11" t="str">
        <f>IFERROR(IF(Tabela511128[[#This Row],[Entrega]]=K10,"",VLOOKUP(Tabela511128[[#This Row],[Entrega]],cálculos!$A$3:$B$7,2,0)),"")</f>
        <v/>
      </c>
      <c r="M9" s="12" t="str">
        <f>IFERROR(SUM(Tabela511128[[#This Row],[Subtotal]]*(1-Tabela511128[[#This Row],[Desconto]]),Tabela511128[[#This Row],[Valor de Entrega]]),"")</f>
        <v/>
      </c>
      <c r="N9" s="29" t="str">
        <f>IFERROR(IF(Tabela511128[[#This Row],[Id da Venda]]=C10,"",SUMIF(Tabela511128[Id da Venda],Tabela511128[[#This Row],[Id da Venda]],Tabela511128[Total])),"")</f>
        <v/>
      </c>
    </row>
    <row r="10" spans="3:14" x14ac:dyDescent="0.3">
      <c r="D10" s="26"/>
      <c r="F10" s="25" t="str">
        <f>IFERROR(VLOOKUP(Tabela511128[[#This Row],[Produto]],cálculos!$H$3:$K$26,4,0),"")</f>
        <v/>
      </c>
      <c r="H10" s="11" t="str">
        <f>IFERROR(VLOOKUP(Tabela511128[[#This Row],[Produto]],cálculos!$H$3:$K$26,3,0),"")</f>
        <v/>
      </c>
      <c r="I10" s="11" t="str">
        <f>IFERROR(Tabela511128[[#This Row],[Preço Unitário]]*Tabela511128[[#This Row],[Quantidade]],"")</f>
        <v/>
      </c>
      <c r="J10" s="15"/>
      <c r="L10" s="11" t="str">
        <f>IFERROR(IF(Tabela511128[[#This Row],[Entrega]]=K11,"",VLOOKUP(Tabela511128[[#This Row],[Entrega]],cálculos!$A$3:$B$7,2,0)),"")</f>
        <v/>
      </c>
      <c r="M10" s="12" t="str">
        <f>IFERROR(SUM(Tabela511128[[#This Row],[Subtotal]]*(1-Tabela511128[[#This Row],[Desconto]]),Tabela511128[[#This Row],[Valor de Entrega]]),"")</f>
        <v/>
      </c>
      <c r="N10" s="29" t="str">
        <f>IFERROR(IF(Tabela511128[[#This Row],[Id da Venda]]=C11,"",SUMIF(Tabela511128[Id da Venda],Tabela511128[[#This Row],[Id da Venda]],Tabela511128[Total])),"")</f>
        <v/>
      </c>
    </row>
    <row r="11" spans="3:14" x14ac:dyDescent="0.3">
      <c r="D11" s="26"/>
      <c r="F11" s="25" t="str">
        <f>IFERROR(VLOOKUP(Tabela511128[[#This Row],[Produto]],cálculos!$H$3:$K$26,4,0),"")</f>
        <v/>
      </c>
      <c r="H11" s="11" t="str">
        <f>IFERROR(VLOOKUP(Tabela511128[[#This Row],[Produto]],cálculos!$H$3:$K$26,3,0),"")</f>
        <v/>
      </c>
      <c r="I11" s="11" t="str">
        <f>IFERROR(Tabela511128[[#This Row],[Preço Unitário]]*Tabela511128[[#This Row],[Quantidade]],"")</f>
        <v/>
      </c>
      <c r="J11" s="15"/>
      <c r="L11" s="11" t="str">
        <f>IFERROR(IF(Tabela511128[[#This Row],[Entrega]]=K12,"",VLOOKUP(Tabela511128[[#This Row],[Entrega]],cálculos!$A$3:$B$7,2,0)),"")</f>
        <v/>
      </c>
      <c r="M11" s="12" t="str">
        <f>IFERROR(SUM(Tabela511128[[#This Row],[Subtotal]]*(1-Tabela511128[[#This Row],[Desconto]]),Tabela511128[[#This Row],[Valor de Entrega]]),"")</f>
        <v/>
      </c>
      <c r="N11" s="29" t="str">
        <f>IFERROR(IF(Tabela511128[[#This Row],[Id da Venda]]=C12,"",SUMIF(Tabela511128[Id da Venda],Tabela511128[[#This Row],[Id da Venda]],Tabela511128[Total])),"")</f>
        <v/>
      </c>
    </row>
    <row r="12" spans="3:14" x14ac:dyDescent="0.3">
      <c r="D12" s="26"/>
      <c r="F12" s="25" t="str">
        <f>IFERROR(VLOOKUP(Tabela511128[[#This Row],[Produto]],cálculos!$H$3:$K$26,4,0),"")</f>
        <v/>
      </c>
      <c r="H12" s="11" t="str">
        <f>IFERROR(VLOOKUP(Tabela511128[[#This Row],[Produto]],cálculos!$H$3:$K$26,3,0),"")</f>
        <v/>
      </c>
      <c r="I12" s="11" t="str">
        <f>IFERROR(Tabela511128[[#This Row],[Preço Unitário]]*Tabela511128[[#This Row],[Quantidade]],"")</f>
        <v/>
      </c>
      <c r="J12" s="15"/>
      <c r="L12" s="11" t="str">
        <f>IFERROR(IF(Tabela511128[[#This Row],[Entrega]]=K13,"",VLOOKUP(Tabela511128[[#This Row],[Entrega]],cálculos!$A$3:$B$7,2,0)),"")</f>
        <v/>
      </c>
      <c r="M12" s="12" t="str">
        <f>IFERROR(SUM(Tabela511128[[#This Row],[Subtotal]]*(1-Tabela511128[[#This Row],[Desconto]]),Tabela511128[[#This Row],[Valor de Entrega]]),"")</f>
        <v/>
      </c>
      <c r="N12" s="29" t="str">
        <f>IFERROR(IF(Tabela511128[[#This Row],[Id da Venda]]=C13,"",SUMIF(Tabela511128[Id da Venda],Tabela511128[[#This Row],[Id da Venda]],Tabela511128[Total])),"")</f>
        <v/>
      </c>
    </row>
    <row r="13" spans="3:14" x14ac:dyDescent="0.3">
      <c r="D13" s="26"/>
      <c r="F13" s="25" t="str">
        <f>IFERROR(VLOOKUP(Tabela511128[[#This Row],[Produto]],cálculos!$H$3:$K$26,4,0),"")</f>
        <v/>
      </c>
      <c r="H13" s="11" t="str">
        <f>IFERROR(VLOOKUP(Tabela511128[[#This Row],[Produto]],cálculos!$H$3:$K$26,3,0),"")</f>
        <v/>
      </c>
      <c r="I13" s="11" t="str">
        <f>IFERROR(Tabela511128[[#This Row],[Preço Unitário]]*Tabela511128[[#This Row],[Quantidade]],"")</f>
        <v/>
      </c>
      <c r="J13" s="15"/>
      <c r="L13" s="11" t="str">
        <f>IFERROR(IF(Tabela511128[[#This Row],[Entrega]]=K14,"",VLOOKUP(Tabela511128[[#This Row],[Entrega]],cálculos!$A$3:$B$7,2,0)),"")</f>
        <v/>
      </c>
      <c r="M13" s="12" t="str">
        <f>IFERROR(SUM(Tabela511128[[#This Row],[Subtotal]]*(1-Tabela511128[[#This Row],[Desconto]]),Tabela511128[[#This Row],[Valor de Entrega]]),"")</f>
        <v/>
      </c>
      <c r="N13" s="29" t="str">
        <f>IFERROR(IF(Tabela511128[[#This Row],[Id da Venda]]=C14,"",SUMIF(Tabela511128[Id da Venda],Tabela511128[[#This Row],[Id da Venda]],Tabela511128[Total])),"")</f>
        <v/>
      </c>
    </row>
    <row r="14" spans="3:14" x14ac:dyDescent="0.3">
      <c r="D14" s="26"/>
      <c r="F14" s="25" t="str">
        <f>IFERROR(VLOOKUP(Tabela511128[[#This Row],[Produto]],cálculos!$H$3:$K$26,4,0),"")</f>
        <v/>
      </c>
      <c r="H14" s="11" t="str">
        <f>IFERROR(VLOOKUP(Tabela511128[[#This Row],[Produto]],cálculos!$H$3:$K$26,3,0),"")</f>
        <v/>
      </c>
      <c r="I14" s="11" t="str">
        <f>IFERROR(Tabela511128[[#This Row],[Preço Unitário]]*Tabela511128[[#This Row],[Quantidade]],"")</f>
        <v/>
      </c>
      <c r="J14" s="15"/>
      <c r="L14" s="11" t="str">
        <f>IFERROR(IF(Tabela511128[[#This Row],[Entrega]]=K15,"",VLOOKUP(Tabela511128[[#This Row],[Entrega]],cálculos!$A$3:$B$7,2,0)),"")</f>
        <v/>
      </c>
      <c r="M14" s="12" t="str">
        <f>IFERROR(SUM(Tabela511128[[#This Row],[Subtotal]]*(1-Tabela511128[[#This Row],[Desconto]]),Tabela511128[[#This Row],[Valor de Entrega]]),"")</f>
        <v/>
      </c>
      <c r="N14" s="29" t="str">
        <f>IFERROR(IF(Tabela511128[[#This Row],[Id da Venda]]=C15,"",SUMIF(Tabela511128[Id da Venda],Tabela511128[[#This Row],[Id da Venda]],Tabela511128[Total])),"")</f>
        <v/>
      </c>
    </row>
    <row r="15" spans="3:14" x14ac:dyDescent="0.3">
      <c r="D15" s="26"/>
      <c r="F15" s="25" t="str">
        <f>IFERROR(VLOOKUP(Tabela511128[[#This Row],[Produto]],cálculos!$H$3:$K$26,4,0),"")</f>
        <v/>
      </c>
      <c r="H15" s="11" t="str">
        <f>IFERROR(VLOOKUP(Tabela511128[[#This Row],[Produto]],cálculos!$H$3:$K$26,3,0),"")</f>
        <v/>
      </c>
      <c r="I15" s="11" t="str">
        <f>IFERROR(Tabela511128[[#This Row],[Preço Unitário]]*Tabela511128[[#This Row],[Quantidade]],"")</f>
        <v/>
      </c>
      <c r="J15" s="15"/>
      <c r="L15" s="11" t="str">
        <f>IFERROR(IF(Tabela511128[[#This Row],[Entrega]]=K16,"",VLOOKUP(Tabela511128[[#This Row],[Entrega]],cálculos!$A$3:$B$7,2,0)),"")</f>
        <v/>
      </c>
      <c r="M15" s="12" t="str">
        <f>IFERROR(SUM(Tabela511128[[#This Row],[Subtotal]]*(1-Tabela511128[[#This Row],[Desconto]]),Tabela511128[[#This Row],[Valor de Entrega]]),"")</f>
        <v/>
      </c>
      <c r="N15" s="29" t="str">
        <f>IFERROR(IF(Tabela511128[[#This Row],[Id da Venda]]=C16,"",SUMIF(Tabela511128[Id da Venda],Tabela511128[[#This Row],[Id da Venda]],Tabela511128[Total])),"")</f>
        <v/>
      </c>
    </row>
    <row r="16" spans="3:14" x14ac:dyDescent="0.3">
      <c r="D16" s="26"/>
      <c r="F16" s="25" t="str">
        <f>IFERROR(VLOOKUP(Tabela511128[[#This Row],[Produto]],cálculos!$H$3:$K$26,4,0),"")</f>
        <v/>
      </c>
      <c r="H16" s="11" t="str">
        <f>IFERROR(VLOOKUP(Tabela511128[[#This Row],[Produto]],cálculos!$H$3:$K$26,3,0),"")</f>
        <v/>
      </c>
      <c r="I16" s="11" t="str">
        <f>IFERROR(Tabela511128[[#This Row],[Preço Unitário]]*Tabela511128[[#This Row],[Quantidade]],"")</f>
        <v/>
      </c>
      <c r="J16" s="15"/>
      <c r="L16" s="11" t="str">
        <f>IFERROR(IF(Tabela511128[[#This Row],[Entrega]]=K17,"",VLOOKUP(Tabela511128[[#This Row],[Entrega]],cálculos!$A$3:$B$7,2,0)),"")</f>
        <v/>
      </c>
      <c r="M16" s="12" t="str">
        <f>IFERROR(SUM(Tabela511128[[#This Row],[Subtotal]]*(1-Tabela511128[[#This Row],[Desconto]]),Tabela511128[[#This Row],[Valor de Entrega]]),"")</f>
        <v/>
      </c>
      <c r="N16" s="29" t="str">
        <f>IFERROR(IF(Tabela511128[[#This Row],[Id da Venda]]=C17,"",SUMIF(Tabela511128[Id da Venda],Tabela511128[[#This Row],[Id da Venda]],Tabela511128[Total])),"")</f>
        <v/>
      </c>
    </row>
    <row r="17" spans="3:14" x14ac:dyDescent="0.3">
      <c r="D17" s="26"/>
      <c r="F17" s="25" t="str">
        <f>IFERROR(VLOOKUP(Tabela511128[[#This Row],[Produto]],cálculos!$H$3:$K$26,4,0),"")</f>
        <v/>
      </c>
      <c r="H17" s="11" t="str">
        <f>IFERROR(VLOOKUP(Tabela511128[[#This Row],[Produto]],cálculos!$H$3:$K$26,3,0),"")</f>
        <v/>
      </c>
      <c r="I17" s="11" t="str">
        <f>IFERROR(Tabela511128[[#This Row],[Preço Unitário]]*Tabela511128[[#This Row],[Quantidade]],"")</f>
        <v/>
      </c>
      <c r="J17" s="15"/>
      <c r="L17" s="11" t="str">
        <f>IFERROR(IF(Tabela511128[[#This Row],[Entrega]]=K18,"",VLOOKUP(Tabela511128[[#This Row],[Entrega]],cálculos!$A$3:$B$7,2,0)),"")</f>
        <v/>
      </c>
      <c r="M17" s="12" t="str">
        <f>IFERROR(SUM(Tabela511128[[#This Row],[Subtotal]]*(1-Tabela511128[[#This Row],[Desconto]]),Tabela511128[[#This Row],[Valor de Entrega]]),"")</f>
        <v/>
      </c>
      <c r="N17" s="29" t="str">
        <f>IFERROR(IF(Tabela511128[[#This Row],[Id da Venda]]=C18,"",SUMIF(Tabela511128[Id da Venda],Tabela511128[[#This Row],[Id da Venda]],Tabela511128[Total])),"")</f>
        <v/>
      </c>
    </row>
    <row r="18" spans="3:14" x14ac:dyDescent="0.3">
      <c r="D18" s="26"/>
      <c r="F18" s="27" t="str">
        <f>IFERROR(VLOOKUP(Tabela511128[[#This Row],[Produto]],cálculos!$H$3:$K$26,4,0),"")</f>
        <v/>
      </c>
      <c r="H18" s="11" t="str">
        <f>IFERROR(VLOOKUP(Tabela511128[[#This Row],[Produto]],cálculos!$H$3:$K$26,3,0),"")</f>
        <v/>
      </c>
      <c r="I18" s="11" t="str">
        <f>IFERROR(Tabela511128[[#This Row],[Preço Unitário]]*Tabela511128[[#This Row],[Quantidade]],"")</f>
        <v/>
      </c>
      <c r="J18" s="15"/>
      <c r="L18" s="11" t="str">
        <f>IFERROR(IF(Tabela511128[[#This Row],[Entrega]]=K19,"",VLOOKUP(Tabela511128[[#This Row],[Entrega]],cálculos!$A$3:$B$7,2,0)),"")</f>
        <v/>
      </c>
      <c r="M18" s="12" t="str">
        <f>IFERROR(SUM(Tabela511128[[#This Row],[Subtotal]]*(1-Tabela511128[[#This Row],[Desconto]]),Tabela511128[[#This Row],[Valor de Entrega]]),"")</f>
        <v/>
      </c>
      <c r="N18" s="29" t="str">
        <f>IFERROR(IF(Tabela511128[[#This Row],[Id da Venda]]=C19,"",SUMIF(Tabela511128[Id da Venda],Tabela511128[[#This Row],[Id da Venda]],Tabela511128[Total])),"")</f>
        <v/>
      </c>
    </row>
    <row r="19" spans="3:14" x14ac:dyDescent="0.3">
      <c r="D19" s="26"/>
      <c r="F19" s="27" t="str">
        <f>IFERROR(VLOOKUP(Tabela511128[[#This Row],[Produto]],cálculos!$H$3:$K$26,4,0),"")</f>
        <v/>
      </c>
      <c r="H19" s="11" t="str">
        <f>IFERROR(VLOOKUP(Tabela511128[[#This Row],[Produto]],cálculos!$H$3:$K$26,3,0),"")</f>
        <v/>
      </c>
      <c r="I19" s="11" t="str">
        <f>IFERROR(Tabela511128[[#This Row],[Preço Unitário]]*Tabela511128[[#This Row],[Quantidade]],"")</f>
        <v/>
      </c>
      <c r="J19" s="15"/>
      <c r="L19" s="11" t="str">
        <f>IFERROR(IF(Tabela511128[[#This Row],[Entrega]]=K20,"",VLOOKUP(Tabela511128[[#This Row],[Entrega]],cálculos!$A$3:$B$7,2,0)),"")</f>
        <v/>
      </c>
      <c r="M19" s="12" t="str">
        <f>IFERROR(SUM(Tabela511128[[#This Row],[Subtotal]]*(1-Tabela511128[[#This Row],[Desconto]]),Tabela511128[[#This Row],[Valor de Entrega]]),"")</f>
        <v/>
      </c>
      <c r="N19" s="29" t="str">
        <f>IFERROR(IF(Tabela511128[[#This Row],[Id da Venda]]=C20,"",SUMIF(Tabela511128[Id da Venda],Tabela511128[[#This Row],[Id da Venda]],Tabela511128[Total])),"")</f>
        <v/>
      </c>
    </row>
    <row r="20" spans="3:14" x14ac:dyDescent="0.3">
      <c r="D20" s="26"/>
      <c r="F20" s="27" t="str">
        <f>IFERROR(VLOOKUP(Tabela511128[[#This Row],[Produto]],cálculos!$H$3:$K$26,4,0),"")</f>
        <v/>
      </c>
      <c r="H20" s="11" t="str">
        <f>IFERROR(VLOOKUP(Tabela511128[[#This Row],[Produto]],cálculos!$H$3:$K$26,3,0),"")</f>
        <v/>
      </c>
      <c r="I20" s="11" t="str">
        <f>IFERROR(Tabela511128[[#This Row],[Preço Unitário]]*Tabela511128[[#This Row],[Quantidade]],"")</f>
        <v/>
      </c>
      <c r="J20" s="15"/>
      <c r="L20" s="11" t="str">
        <f>IFERROR(IF(Tabela511128[[#This Row],[Entrega]]=K21,"",VLOOKUP(Tabela511128[[#This Row],[Entrega]],cálculos!$A$3:$B$7,2,0)),"")</f>
        <v/>
      </c>
      <c r="M20" s="12" t="str">
        <f>IFERROR(SUM(Tabela511128[[#This Row],[Subtotal]]*(1-Tabela511128[[#This Row],[Desconto]]),Tabela511128[[#This Row],[Valor de Entrega]]),"")</f>
        <v/>
      </c>
      <c r="N20" s="29" t="str">
        <f>IFERROR(IF(Tabela511128[[#This Row],[Id da Venda]]=C21,"",SUMIF(Tabela511128[Id da Venda],Tabela511128[[#This Row],[Id da Venda]],Tabela511128[Total])),"")</f>
        <v/>
      </c>
    </row>
    <row r="21" spans="3:14" x14ac:dyDescent="0.3">
      <c r="D21" s="26"/>
      <c r="F21" s="27" t="str">
        <f>IFERROR(VLOOKUP(Tabela511128[[#This Row],[Produto]],cálculos!$H$3:$K$26,4,0),"")</f>
        <v/>
      </c>
      <c r="H21" s="11" t="str">
        <f>IFERROR(VLOOKUP(Tabela511128[[#This Row],[Produto]],cálculos!$H$3:$K$26,3,0),"")</f>
        <v/>
      </c>
      <c r="I21" s="11" t="str">
        <f>IFERROR(Tabela511128[[#This Row],[Preço Unitário]]*Tabela511128[[#This Row],[Quantidade]],"")</f>
        <v/>
      </c>
      <c r="J21" s="15"/>
      <c r="L21" s="11" t="str">
        <f>IFERROR(IF(Tabela511128[[#This Row],[Entrega]]=K22,"",VLOOKUP(Tabela511128[[#This Row],[Entrega]],cálculos!$A$3:$B$7,2,0)),"")</f>
        <v/>
      </c>
      <c r="M21" s="12" t="str">
        <f>IFERROR(SUM(Tabela511128[[#This Row],[Subtotal]]*(1-Tabela511128[[#This Row],[Desconto]]),Tabela511128[[#This Row],[Valor de Entrega]]),"")</f>
        <v/>
      </c>
      <c r="N21" s="29" t="str">
        <f>IFERROR(IF(Tabela511128[[#This Row],[Id da Venda]]=C22,"",SUMIF(Tabela511128[Id da Venda],Tabela511128[[#This Row],[Id da Venda]],Tabela511128[Total])),"")</f>
        <v/>
      </c>
    </row>
    <row r="22" spans="3:14" x14ac:dyDescent="0.3">
      <c r="D22" s="26"/>
      <c r="F22" s="27" t="str">
        <f>IFERROR(VLOOKUP(Tabela511128[[#This Row],[Produto]],cálculos!$H$3:$K$26,4,0),"")</f>
        <v/>
      </c>
      <c r="H22" s="11" t="str">
        <f>IFERROR(VLOOKUP(Tabela511128[[#This Row],[Produto]],cálculos!$H$3:$K$26,3,0),"")</f>
        <v/>
      </c>
      <c r="I22" s="11" t="str">
        <f>IFERROR(Tabela511128[[#This Row],[Preço Unitário]]*Tabela511128[[#This Row],[Quantidade]],"")</f>
        <v/>
      </c>
      <c r="J22" s="15"/>
      <c r="L22" s="11" t="str">
        <f>IFERROR(IF(Tabela511128[[#This Row],[Entrega]]=K23,"",VLOOKUP(Tabela511128[[#This Row],[Entrega]],cálculos!$A$3:$B$7,2,0)),"")</f>
        <v/>
      </c>
      <c r="M22" s="12" t="str">
        <f>IFERROR(SUM(Tabela511128[[#This Row],[Subtotal]]*(1-Tabela511128[[#This Row],[Desconto]]),Tabela511128[[#This Row],[Valor de Entrega]]),"")</f>
        <v/>
      </c>
      <c r="N22" s="29" t="str">
        <f>IFERROR(IF(Tabela511128[[#This Row],[Id da Venda]]=C23,"",SUMIF(Tabela511128[Id da Venda],Tabela511128[[#This Row],[Id da Venda]],Tabela511128[Total])),"")</f>
        <v/>
      </c>
    </row>
    <row r="23" spans="3:14" x14ac:dyDescent="0.3">
      <c r="D23" s="26"/>
      <c r="F23" s="27" t="str">
        <f>IFERROR(VLOOKUP(Tabela511128[[#This Row],[Produto]],cálculos!$H$3:$K$26,4,0),"")</f>
        <v/>
      </c>
      <c r="H23" s="11" t="str">
        <f>IFERROR(VLOOKUP(Tabela511128[[#This Row],[Produto]],cálculos!$H$3:$K$26,3,0),"")</f>
        <v/>
      </c>
      <c r="I23" s="11" t="str">
        <f>IFERROR(Tabela511128[[#This Row],[Preço Unitário]]*Tabela511128[[#This Row],[Quantidade]],"")</f>
        <v/>
      </c>
      <c r="J23" s="15"/>
      <c r="L23" s="11" t="str">
        <f>IFERROR(IF(Tabela511128[[#This Row],[Entrega]]=K24,"",VLOOKUP(Tabela511128[[#This Row],[Entrega]],cálculos!$A$3:$B$7,2,0)),"")</f>
        <v/>
      </c>
      <c r="M23" s="12" t="str">
        <f>IFERROR(SUM(Tabela511128[[#This Row],[Subtotal]]*(1-Tabela511128[[#This Row],[Desconto]]),Tabela511128[[#This Row],[Valor de Entrega]]),"")</f>
        <v/>
      </c>
      <c r="N23" s="29" t="str">
        <f>IFERROR(IF(Tabela511128[[#This Row],[Id da Venda]]=C24,"",SUMIF(Tabela511128[Id da Venda],Tabela511128[[#This Row],[Id da Venda]],Tabela511128[Total])),"")</f>
        <v/>
      </c>
    </row>
    <row r="24" spans="3:14" x14ac:dyDescent="0.3">
      <c r="D24" s="26"/>
      <c r="F24" s="27" t="str">
        <f>IFERROR(VLOOKUP(Tabela511128[[#This Row],[Produto]],cálculos!$H$3:$K$26,4,0),"")</f>
        <v/>
      </c>
      <c r="H24" s="11" t="str">
        <f>IFERROR(VLOOKUP(Tabela511128[[#This Row],[Produto]],cálculos!$H$3:$K$26,3,0),"")</f>
        <v/>
      </c>
      <c r="I24" s="11" t="str">
        <f>IFERROR(Tabela511128[[#This Row],[Preço Unitário]]*Tabela511128[[#This Row],[Quantidade]],"")</f>
        <v/>
      </c>
      <c r="J24" s="15"/>
      <c r="L24" s="11" t="str">
        <f>IFERROR(IF(Tabela511128[[#This Row],[Entrega]]=K25,"",VLOOKUP(Tabela511128[[#This Row],[Entrega]],cálculos!$A$3:$B$7,2,0)),"")</f>
        <v/>
      </c>
      <c r="M24" s="12" t="str">
        <f>IFERROR(SUM(Tabela511128[[#This Row],[Subtotal]]*(1-Tabela511128[[#This Row],[Desconto]]),Tabela511128[[#This Row],[Valor de Entrega]]),"")</f>
        <v/>
      </c>
      <c r="N24" s="29" t="str">
        <f>IFERROR(IF(Tabela511128[[#This Row],[Id da Venda]]=C25,"",SUMIF(Tabela511128[Id da Venda],Tabela511128[[#This Row],[Id da Venda]],Tabela511128[Total])),"")</f>
        <v/>
      </c>
    </row>
    <row r="25" spans="3:14" x14ac:dyDescent="0.3">
      <c r="D25" s="26"/>
      <c r="F25" s="27" t="str">
        <f>IFERROR(VLOOKUP(Tabela511128[[#This Row],[Produto]],cálculos!$H$3:$K$26,4,0),"")</f>
        <v/>
      </c>
      <c r="H25" s="11" t="str">
        <f>IFERROR(VLOOKUP(Tabela511128[[#This Row],[Produto]],cálculos!$H$3:$K$26,3,0),"")</f>
        <v/>
      </c>
      <c r="I25" s="11" t="str">
        <f>IFERROR(Tabela511128[[#This Row],[Preço Unitário]]*Tabela511128[[#This Row],[Quantidade]],"")</f>
        <v/>
      </c>
      <c r="J25" s="15"/>
      <c r="L25" s="11" t="str">
        <f>IFERROR(IF(Tabela511128[[#This Row],[Entrega]]=K26,"",VLOOKUP(Tabela511128[[#This Row],[Entrega]],cálculos!$A$3:$B$7,2,0)),"")</f>
        <v/>
      </c>
      <c r="M25" s="12" t="str">
        <f>IFERROR(SUM(Tabela511128[[#This Row],[Subtotal]]*(1-Tabela511128[[#This Row],[Desconto]]),Tabela511128[[#This Row],[Valor de Entrega]]),"")</f>
        <v/>
      </c>
      <c r="N25" s="29" t="str">
        <f>IFERROR(IF(Tabela511128[[#This Row],[Id da Venda]]=C26,"",SUMIF(Tabela511128[Id da Venda],Tabela511128[[#This Row],[Id da Venda]],Tabela511128[Total])),"")</f>
        <v/>
      </c>
    </row>
    <row r="26" spans="3:14" x14ac:dyDescent="0.3">
      <c r="D26" s="26"/>
      <c r="F26" s="27" t="str">
        <f>IFERROR(VLOOKUP(Tabela511128[[#This Row],[Produto]],cálculos!$H$3:$K$26,4,0),"")</f>
        <v/>
      </c>
      <c r="H26" s="11" t="str">
        <f>IFERROR(VLOOKUP(Tabela511128[[#This Row],[Produto]],cálculos!$H$3:$K$26,3,0),"")</f>
        <v/>
      </c>
      <c r="I26" s="11" t="str">
        <f>IFERROR(Tabela511128[[#This Row],[Preço Unitário]]*Tabela511128[[#This Row],[Quantidade]],"")</f>
        <v/>
      </c>
      <c r="J26" s="15"/>
      <c r="L26" s="11" t="str">
        <f>IFERROR(IF(Tabela511128[[#This Row],[Entrega]]=K27,"",VLOOKUP(Tabela511128[[#This Row],[Entrega]],cálculos!$A$3:$B$7,2,0)),"")</f>
        <v/>
      </c>
      <c r="M26" s="12" t="str">
        <f>IFERROR(SUM(Tabela511128[[#This Row],[Subtotal]]*(1-Tabela511128[[#This Row],[Desconto]]),Tabela511128[[#This Row],[Valor de Entrega]]),"")</f>
        <v/>
      </c>
      <c r="N26" s="29" t="str">
        <f>IFERROR(IF(Tabela511128[[#This Row],[Id da Venda]]=C27,"",SUMIF(Tabela511128[Id da Venda],Tabela511128[[#This Row],[Id da Venda]],Tabela511128[Total])),"")</f>
        <v/>
      </c>
    </row>
    <row r="27" spans="3:14" x14ac:dyDescent="0.3">
      <c r="D27" s="26"/>
      <c r="F27" s="27" t="str">
        <f>IFERROR(VLOOKUP(Tabela511128[[#This Row],[Produto]],cálculos!$H$3:$K$26,4,0),"")</f>
        <v/>
      </c>
      <c r="H27" s="11" t="str">
        <f>IFERROR(VLOOKUP(Tabela511128[[#This Row],[Produto]],cálculos!$H$3:$K$26,3,0),"")</f>
        <v/>
      </c>
      <c r="I27" s="11" t="str">
        <f>IFERROR(Tabela511128[[#This Row],[Preço Unitário]]*Tabela511128[[#This Row],[Quantidade]],"")</f>
        <v/>
      </c>
      <c r="J27" s="15"/>
      <c r="L27" s="11" t="str">
        <f>IFERROR(IF(Tabela511128[[#This Row],[Entrega]]=K28,"",VLOOKUP(Tabela511128[[#This Row],[Entrega]],cálculos!$A$3:$B$7,2,0)),"")</f>
        <v/>
      </c>
      <c r="M27" s="12" t="str">
        <f>IFERROR(SUM(Tabela511128[[#This Row],[Subtotal]]*(1-Tabela511128[[#This Row],[Desconto]]),Tabela511128[[#This Row],[Valor de Entrega]]),"")</f>
        <v/>
      </c>
      <c r="N27" s="29" t="str">
        <f>IFERROR(IF(Tabela511128[[#This Row],[Id da Venda]]=C28,"",SUMIF(Tabela511128[Id da Venda],Tabela511128[[#This Row],[Id da Venda]],Tabela511128[Total])),"")</f>
        <v/>
      </c>
    </row>
    <row r="28" spans="3:14" x14ac:dyDescent="0.3">
      <c r="D28" s="26"/>
      <c r="F28" s="27" t="str">
        <f>IFERROR(VLOOKUP(Tabela511128[[#This Row],[Produto]],cálculos!$H$3:$K$26,4,0),"")</f>
        <v/>
      </c>
      <c r="H28" s="11" t="str">
        <f>IFERROR(VLOOKUP(Tabela511128[[#This Row],[Produto]],cálculos!$H$3:$K$26,3,0),"")</f>
        <v/>
      </c>
      <c r="I28" s="11" t="str">
        <f>IFERROR(Tabela511128[[#This Row],[Preço Unitário]]*Tabela511128[[#This Row],[Quantidade]],"")</f>
        <v/>
      </c>
      <c r="J28" s="15"/>
      <c r="L28" s="11" t="str">
        <f>IFERROR(IF(Tabela511128[[#This Row],[Entrega]]=K29,"",VLOOKUP(Tabela511128[[#This Row],[Entrega]],cálculos!$A$3:$B$7,2,0)),"")</f>
        <v/>
      </c>
      <c r="M28" s="12" t="str">
        <f>IFERROR(SUM(Tabela511128[[#This Row],[Subtotal]]*(1-Tabela511128[[#This Row],[Desconto]]),Tabela511128[[#This Row],[Valor de Entrega]]),"")</f>
        <v/>
      </c>
      <c r="N28" s="29" t="str">
        <f>IFERROR(IF(Tabela511128[[#This Row],[Id da Venda]]=C29,"",SUMIF(Tabela511128[Id da Venda],Tabela511128[[#This Row],[Id da Venda]],Tabela511128[Total])),"")</f>
        <v/>
      </c>
    </row>
    <row r="29" spans="3:14" x14ac:dyDescent="0.3">
      <c r="D29" s="26"/>
      <c r="F29" s="27" t="str">
        <f>IFERROR(VLOOKUP(Tabela511128[[#This Row],[Produto]],cálculos!$H$3:$K$26,4,0),"")</f>
        <v/>
      </c>
      <c r="H29" s="11" t="str">
        <f>IFERROR(VLOOKUP(Tabela511128[[#This Row],[Produto]],cálculos!$H$3:$K$26,3,0),"")</f>
        <v/>
      </c>
      <c r="I29" s="11" t="str">
        <f>IFERROR(Tabela511128[[#This Row],[Preço Unitário]]*Tabela511128[[#This Row],[Quantidade]],"")</f>
        <v/>
      </c>
      <c r="J29" s="15"/>
      <c r="L29" s="11" t="str">
        <f>IFERROR(IF(Tabela511128[[#This Row],[Entrega]]=K30,"",VLOOKUP(Tabela511128[[#This Row],[Entrega]],cálculos!$A$3:$B$7,2,0)),"")</f>
        <v/>
      </c>
      <c r="M29" s="12" t="str">
        <f>IFERROR(SUM(Tabela511128[[#This Row],[Subtotal]]*(1-Tabela511128[[#This Row],[Desconto]]),Tabela511128[[#This Row],[Valor de Entrega]]),"")</f>
        <v/>
      </c>
      <c r="N29" s="29">
        <f>IFERROR(IF(Tabela511128[[#This Row],[Id da Venda]]=C30,"",SUMIF(Tabela511128[Id da Venda],Tabela511128[[#This Row],[Id da Venda]],Tabela511128[Total])),"")</f>
        <v>0</v>
      </c>
    </row>
    <row r="30" spans="3:14" x14ac:dyDescent="0.3">
      <c r="C30" s="25" t="s">
        <v>54</v>
      </c>
      <c r="H30" s="27"/>
      <c r="I30" s="27"/>
      <c r="J30" s="27"/>
      <c r="L30" s="12">
        <f>SUBTOTAL(109,Tabela511128[Valor de Entrega])</f>
        <v>0</v>
      </c>
      <c r="N30" s="29">
        <f>SUBTOTAL(109,Tabela511128[Total para o Cliente])</f>
        <v>0</v>
      </c>
    </row>
    <row r="31" spans="3:14" ht="15" thickBot="1" x14ac:dyDescent="0.35"/>
    <row r="32" spans="3:14" ht="19.2" thickTop="1" thickBot="1" x14ac:dyDescent="0.4">
      <c r="C32" s="65" t="s">
        <v>130</v>
      </c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5" cm="1">
        <f t="array" ref="N32">SUM(IF(FREQUENCY(Tabela511128[Id da Venda],Tabela511128[Id da Venda])&gt;0,1,0))</f>
        <v>0</v>
      </c>
    </row>
    <row r="33" ht="15" thickTop="1" x14ac:dyDescent="0.3"/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A3E064E-0750-4D67-B3A7-E7C88621A48C}">
          <x14:formula1>
            <xm:f>cálculos!$H$3:$H$26</xm:f>
          </x14:formula1>
          <xm:sqref>E5:E29</xm:sqref>
        </x14:dataValidation>
        <x14:dataValidation type="list" allowBlank="1" showInputMessage="1" showErrorMessage="1" xr:uid="{A0199574-B0BC-4199-A1DA-005A7365EE12}">
          <x14:formula1>
            <xm:f>cálculos!$A$3:$A$7</xm:f>
          </x14:formula1>
          <xm:sqref>K5:K29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3"/>
  <dimension ref="A2:K26"/>
  <sheetViews>
    <sheetView workbookViewId="0">
      <selection activeCell="H2" sqref="H2:K26"/>
    </sheetView>
  </sheetViews>
  <sheetFormatPr defaultRowHeight="14.4" x14ac:dyDescent="0.3"/>
  <cols>
    <col min="1" max="1" width="17" bestFit="1" customWidth="1"/>
    <col min="2" max="2" width="8.33203125" bestFit="1" customWidth="1"/>
    <col min="8" max="8" width="14.77734375" bestFit="1" customWidth="1"/>
    <col min="9" max="9" width="23" bestFit="1" customWidth="1"/>
    <col min="10" max="10" width="21.77734375" bestFit="1" customWidth="1"/>
    <col min="11" max="11" width="7.77734375" bestFit="1" customWidth="1"/>
  </cols>
  <sheetData>
    <row r="2" spans="1:11" x14ac:dyDescent="0.3">
      <c r="A2" s="17" t="s">
        <v>63</v>
      </c>
      <c r="B2" s="17" t="s">
        <v>64</v>
      </c>
      <c r="H2" s="17" t="s">
        <v>65</v>
      </c>
      <c r="I2" s="17" t="s">
        <v>66</v>
      </c>
      <c r="J2" s="17" t="s">
        <v>67</v>
      </c>
      <c r="K2" s="17" t="s">
        <v>68</v>
      </c>
    </row>
    <row r="3" spans="1:11" x14ac:dyDescent="0.3">
      <c r="A3" t="s">
        <v>69</v>
      </c>
      <c r="B3" s="11">
        <v>5</v>
      </c>
      <c r="H3" t="s">
        <v>20</v>
      </c>
      <c r="I3" s="11">
        <v>2.8405</v>
      </c>
      <c r="J3" s="11">
        <v>2.99</v>
      </c>
      <c r="K3" t="s">
        <v>70</v>
      </c>
    </row>
    <row r="4" spans="1:11" x14ac:dyDescent="0.3">
      <c r="A4" t="s">
        <v>71</v>
      </c>
      <c r="B4" s="11">
        <v>0</v>
      </c>
      <c r="H4" t="s">
        <v>29</v>
      </c>
      <c r="I4" s="11">
        <v>1.0580000000000001</v>
      </c>
      <c r="J4" s="11">
        <v>1.1499999999999999</v>
      </c>
      <c r="K4" t="s">
        <v>72</v>
      </c>
    </row>
    <row r="5" spans="1:11" x14ac:dyDescent="0.3">
      <c r="A5" t="s">
        <v>73</v>
      </c>
      <c r="B5" s="11">
        <v>6.5</v>
      </c>
      <c r="C5" s="18"/>
      <c r="H5" t="s">
        <v>17</v>
      </c>
      <c r="I5" s="11">
        <v>2.3406000000000002</v>
      </c>
      <c r="J5" s="11">
        <v>2.4900000000000002</v>
      </c>
      <c r="K5" t="s">
        <v>74</v>
      </c>
    </row>
    <row r="6" spans="1:11" x14ac:dyDescent="0.3">
      <c r="A6" t="s">
        <v>75</v>
      </c>
      <c r="B6" s="11">
        <v>8</v>
      </c>
      <c r="C6" s="18"/>
      <c r="H6" t="s">
        <v>34</v>
      </c>
      <c r="I6" s="11">
        <v>1.8506999999999998</v>
      </c>
      <c r="J6" s="11">
        <v>1.99</v>
      </c>
      <c r="K6" t="s">
        <v>72</v>
      </c>
    </row>
    <row r="7" spans="1:11" x14ac:dyDescent="0.3">
      <c r="A7" t="s">
        <v>76</v>
      </c>
      <c r="B7" s="11">
        <v>6.5</v>
      </c>
      <c r="C7" s="18"/>
      <c r="H7" t="s">
        <v>37</v>
      </c>
      <c r="I7" s="11">
        <v>1.0924999999999998</v>
      </c>
      <c r="J7" s="11">
        <v>1.1499999999999999</v>
      </c>
      <c r="K7" t="s">
        <v>72</v>
      </c>
    </row>
    <row r="8" spans="1:11" x14ac:dyDescent="0.3">
      <c r="C8" s="18"/>
      <c r="H8" t="s">
        <v>33</v>
      </c>
      <c r="I8" s="11">
        <v>0.74260000000000004</v>
      </c>
      <c r="J8" s="11">
        <v>0.79</v>
      </c>
      <c r="K8" t="s">
        <v>72</v>
      </c>
    </row>
    <row r="9" spans="1:11" x14ac:dyDescent="0.3">
      <c r="C9" s="18"/>
      <c r="H9" t="s">
        <v>21</v>
      </c>
      <c r="I9" s="11">
        <v>14.469000000000001</v>
      </c>
      <c r="J9" s="11">
        <v>15.9</v>
      </c>
      <c r="K9" t="s">
        <v>74</v>
      </c>
    </row>
    <row r="10" spans="1:11" x14ac:dyDescent="0.3">
      <c r="C10" s="18"/>
      <c r="H10" t="s">
        <v>27</v>
      </c>
      <c r="I10" s="11">
        <v>3.6309000000000005</v>
      </c>
      <c r="J10" s="11">
        <v>3.99</v>
      </c>
      <c r="K10" t="s">
        <v>74</v>
      </c>
    </row>
    <row r="11" spans="1:11" x14ac:dyDescent="0.3">
      <c r="C11" s="18"/>
      <c r="H11" t="s">
        <v>30</v>
      </c>
      <c r="I11" s="11">
        <v>2.1023999999999998</v>
      </c>
      <c r="J11" s="11">
        <v>2.19</v>
      </c>
      <c r="K11" t="s">
        <v>79</v>
      </c>
    </row>
    <row r="12" spans="1:11" x14ac:dyDescent="0.3">
      <c r="C12" s="18"/>
      <c r="H12" t="s">
        <v>35</v>
      </c>
      <c r="I12" s="11">
        <v>4.5409000000000006</v>
      </c>
      <c r="J12" s="11">
        <v>4.99</v>
      </c>
      <c r="K12" t="s">
        <v>80</v>
      </c>
    </row>
    <row r="13" spans="1:11" x14ac:dyDescent="0.3">
      <c r="C13" s="18"/>
      <c r="H13" t="s">
        <v>36</v>
      </c>
      <c r="I13" s="11">
        <v>6.3449999999999998</v>
      </c>
      <c r="J13" s="11">
        <v>6.75</v>
      </c>
      <c r="K13" t="s">
        <v>81</v>
      </c>
    </row>
    <row r="14" spans="1:11" x14ac:dyDescent="0.3">
      <c r="H14" t="s">
        <v>32</v>
      </c>
      <c r="I14" s="11">
        <v>2.3660000000000001</v>
      </c>
      <c r="J14" s="11">
        <v>2.6</v>
      </c>
      <c r="K14" t="s">
        <v>70</v>
      </c>
    </row>
    <row r="15" spans="1:11" x14ac:dyDescent="0.3">
      <c r="H15" t="s">
        <v>18</v>
      </c>
      <c r="I15" s="11">
        <v>4.0659999999999998</v>
      </c>
      <c r="J15" s="11">
        <v>4.28</v>
      </c>
      <c r="K15" t="s">
        <v>74</v>
      </c>
    </row>
    <row r="16" spans="1:11" x14ac:dyDescent="0.3">
      <c r="H16" t="s">
        <v>22</v>
      </c>
      <c r="I16" s="11">
        <v>6.4216000000000006</v>
      </c>
      <c r="J16" s="11">
        <v>6.98</v>
      </c>
      <c r="K16" t="s">
        <v>74</v>
      </c>
    </row>
    <row r="17" spans="8:11" x14ac:dyDescent="0.3">
      <c r="H17" t="s">
        <v>77</v>
      </c>
      <c r="I17" s="11">
        <v>1.3708</v>
      </c>
      <c r="J17" s="11">
        <v>1.49</v>
      </c>
      <c r="K17" t="s">
        <v>78</v>
      </c>
    </row>
    <row r="18" spans="8:11" x14ac:dyDescent="0.3">
      <c r="H18" t="s">
        <v>82</v>
      </c>
      <c r="I18" s="11">
        <v>2.6299000000000001</v>
      </c>
      <c r="J18" s="11">
        <v>2.89</v>
      </c>
      <c r="K18" t="s">
        <v>70</v>
      </c>
    </row>
    <row r="19" spans="8:11" x14ac:dyDescent="0.3">
      <c r="H19" t="s">
        <v>23</v>
      </c>
      <c r="I19" s="11">
        <v>22.226999999999997</v>
      </c>
      <c r="J19" s="11">
        <v>23.9</v>
      </c>
      <c r="K19" t="s">
        <v>74</v>
      </c>
    </row>
    <row r="20" spans="8:11" x14ac:dyDescent="0.3">
      <c r="H20" t="s">
        <v>24</v>
      </c>
      <c r="I20" s="11">
        <v>23.827999999999999</v>
      </c>
      <c r="J20" s="11">
        <v>25.9</v>
      </c>
      <c r="K20" t="s">
        <v>74</v>
      </c>
    </row>
    <row r="21" spans="8:11" x14ac:dyDescent="0.3">
      <c r="H21" t="s">
        <v>83</v>
      </c>
      <c r="I21" s="11">
        <v>2.1749000000000001</v>
      </c>
      <c r="J21" s="11">
        <v>2.39</v>
      </c>
      <c r="K21" t="s">
        <v>78</v>
      </c>
    </row>
    <row r="22" spans="8:11" x14ac:dyDescent="0.3">
      <c r="H22" t="s">
        <v>26</v>
      </c>
      <c r="I22" s="11">
        <v>3.2084999999999999</v>
      </c>
      <c r="J22" s="11">
        <v>3.45</v>
      </c>
      <c r="K22" t="s">
        <v>78</v>
      </c>
    </row>
    <row r="23" spans="8:11" x14ac:dyDescent="0.3">
      <c r="H23" t="s">
        <v>19</v>
      </c>
      <c r="I23" s="11">
        <v>5.3544000000000009</v>
      </c>
      <c r="J23" s="11">
        <v>5.82</v>
      </c>
      <c r="K23" t="s">
        <v>74</v>
      </c>
    </row>
    <row r="24" spans="8:11" x14ac:dyDescent="0.3">
      <c r="H24" t="s">
        <v>28</v>
      </c>
      <c r="I24" s="11">
        <v>9.1009999999999991</v>
      </c>
      <c r="J24" s="11">
        <v>9.58</v>
      </c>
      <c r="K24" t="s">
        <v>74</v>
      </c>
    </row>
    <row r="25" spans="8:11" x14ac:dyDescent="0.3">
      <c r="H25" t="s">
        <v>25</v>
      </c>
      <c r="I25" s="11">
        <v>26.012999999999998</v>
      </c>
      <c r="J25" s="11">
        <v>29.9</v>
      </c>
      <c r="K25" t="s">
        <v>84</v>
      </c>
    </row>
    <row r="26" spans="8:11" x14ac:dyDescent="0.3">
      <c r="H26" t="s">
        <v>31</v>
      </c>
      <c r="I26" s="11">
        <v>46.664999999999999</v>
      </c>
      <c r="J26" s="11">
        <v>54.9</v>
      </c>
      <c r="K26" t="s">
        <v>84</v>
      </c>
    </row>
  </sheetData>
  <autoFilter ref="H2:K2" xr:uid="{6878BD4D-1049-40BA-A88E-F759E2E9E49F}">
    <sortState xmlns:xlrd2="http://schemas.microsoft.com/office/spreadsheetml/2017/richdata2" ref="H3:K26">
      <sortCondition ref="H2"/>
    </sortState>
  </autoFilter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1</vt:i4>
      </vt:variant>
    </vt:vector>
  </HeadingPairs>
  <TitlesOfParts>
    <vt:vector size="16" baseType="lpstr">
      <vt:lpstr>Menu</vt:lpstr>
      <vt:lpstr>Despesas Fixas</vt:lpstr>
      <vt:lpstr>Compra Mercadorias</vt:lpstr>
      <vt:lpstr>Controle de Estoque</vt:lpstr>
      <vt:lpstr>Investimentos</vt:lpstr>
      <vt:lpstr>Resultados</vt:lpstr>
      <vt:lpstr>Vendas</vt:lpstr>
      <vt:lpstr>Semana 1</vt:lpstr>
      <vt:lpstr>Análise Semana 1</vt:lpstr>
      <vt:lpstr>Semana 2</vt:lpstr>
      <vt:lpstr>Análise Semana 2</vt:lpstr>
      <vt:lpstr>Semana 3</vt:lpstr>
      <vt:lpstr>Semana 4</vt:lpstr>
      <vt:lpstr>Semana 5</vt:lpstr>
      <vt:lpstr>cálculos</vt:lpstr>
      <vt:lpstr>Resultados!Area_de_impressao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Gustavo Esporte dos Santos</cp:lastModifiedBy>
  <cp:lastPrinted>2019-12-02T22:21:58Z</cp:lastPrinted>
  <dcterms:created xsi:type="dcterms:W3CDTF">2015-06-24T19:21:22Z</dcterms:created>
  <dcterms:modified xsi:type="dcterms:W3CDTF">2020-02-01T18:25:23Z</dcterms:modified>
</cp:coreProperties>
</file>